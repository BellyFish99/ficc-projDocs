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组合管理+绩效归因" sheetId="7" state="visible" r:id="rId7"/>
  </sheets>
  <definedNames>
    <definedName name="_xlnm.Print_Area" localSheetId="0">'差距分析总表'!$A$1:$P$19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7" t="inlineStr">
        <is>
          <t>中</t>
        </is>
      </c>
      <c r="K6" s="5" t="inlineStr">
        <is>
          <t>衡泰(垄断)</t>
        </is>
      </c>
      <c r="L6" s="5" t="inlineStr">
        <is>
          <t>ARC风险引擎</t>
        </is>
      </c>
      <c r="M6" s="3" t="n">
        <v>10</v>
      </c>
      <c r="N6" s="3" t="n">
        <v>10</v>
      </c>
      <c r="O6" s="8" t="n">
        <v>80</v>
      </c>
      <c r="P6" s="5" t="inlineStr">
        <is>
          <t>替代衡泰老旧系统，信创切入口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6</v>
      </c>
      <c r="N7" s="3" t="n">
        <v>8</v>
      </c>
      <c r="O7" s="8" t="n">
        <v>42</v>
      </c>
      <c r="P7" s="5" t="inlineStr">
        <is>
          <t>监管驱动，AI差异化，快速商业化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5</v>
      </c>
      <c r="N8" s="3" t="n">
        <v>6</v>
      </c>
      <c r="O8" s="8" t="n">
        <v>28</v>
      </c>
      <c r="P8" s="5" t="inlineStr">
        <is>
          <t>嵌入交易前拦截，合规刚需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</t>
        </is>
      </c>
      <c r="M10" s="3" t="n">
        <v>10</v>
      </c>
      <c r="N10" s="3" t="n">
        <v>12</v>
      </c>
      <c r="O10" s="8" t="n">
        <v>96</v>
      </c>
      <c r="P10" s="5" t="inlineStr">
        <is>
          <t>因子框架+回测引擎，低延迟执行</t>
        </is>
      </c>
    </row>
    <row r="11" ht="28" customHeight="1">
      <c r="A11" s="10" t="n">
        <v>9</v>
      </c>
      <c r="B11" s="11" t="inlineStr">
        <is>
          <t>量化定价引擎</t>
        </is>
      </c>
      <c r="C11" s="11" t="inlineStr">
        <is>
          <t>Quant Pricing Engine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</t>
        </is>
      </c>
    </row>
    <row r="12" ht="28" customHeight="1">
      <c r="A12" s="10" t="n">
        <v>10</v>
      </c>
      <c r="B12" s="11" t="inlineStr">
        <is>
          <t>利率衍生品</t>
        </is>
      </c>
      <c r="C12" s="11" t="inlineStr">
        <is>
          <t>Interest Rate Derivatives</t>
        </is>
      </c>
      <c r="D12" s="11" t="inlineStr">
        <is>
          <t>前台交易</t>
        </is>
      </c>
      <c r="E12" s="12" t="inlineStr">
        <is>
          <t>P2</t>
        </is>
      </c>
      <c r="F12" s="10" t="inlineStr">
        <is>
          <t>★★★★☆</t>
        </is>
      </c>
      <c r="G12" s="10" t="inlineStr">
        <is>
          <t>★★★★☆</t>
        </is>
      </c>
      <c r="H12" s="10" t="inlineStr">
        <is>
          <t>L1</t>
        </is>
      </c>
      <c r="I12" s="10" t="inlineStr">
        <is>
          <t>L3</t>
        </is>
      </c>
      <c r="J12" s="14" t="inlineStr">
        <is>
          <t>大</t>
        </is>
      </c>
      <c r="K12" s="11" t="inlineStr">
        <is>
          <t>Murex/衡泰</t>
        </is>
      </c>
      <c r="L12" s="11" t="inlineStr">
        <is>
          <t>无直接基础</t>
        </is>
      </c>
      <c r="M12" s="10" t="n">
        <v>12</v>
      </c>
      <c r="N12" s="10" t="n">
        <v>12</v>
      </c>
      <c r="O12" s="13" t="n">
        <v>108</v>
      </c>
      <c r="P12" s="11" t="inlineStr">
        <is>
          <t>IRS/OIS/CCS，需专业量化团队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4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3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数据管理/行情平台</t>
        </is>
      </c>
      <c r="C14" s="11" t="inlineStr">
        <is>
          <t>Market Data Platform</t>
        </is>
      </c>
      <c r="D14" s="11" t="inlineStr">
        <is>
          <t>基础数据</t>
        </is>
      </c>
      <c r="E14" s="12" t="inlineStr">
        <is>
          <t>P2</t>
        </is>
      </c>
      <c r="F14" s="10" t="inlineStr">
        <is>
          <t>★★★★☆</t>
        </is>
      </c>
      <c r="G14" s="10" t="inlineStr">
        <is>
          <t>★★★☆☆</t>
        </is>
      </c>
      <c r="H14" s="10" t="inlineStr">
        <is>
          <t>L3</t>
        </is>
      </c>
      <c r="I14" s="10" t="inlineStr">
        <is>
          <t>L4</t>
        </is>
      </c>
      <c r="J14" s="9" t="inlineStr">
        <is>
          <t>小</t>
        </is>
      </c>
      <c r="K14" s="11" t="inlineStr">
        <is>
          <t>Bloomberg/Wind</t>
        </is>
      </c>
      <c r="L14" s="11" t="inlineStr">
        <is>
          <t>AMD行情平台</t>
        </is>
      </c>
      <c r="M14" s="10" t="n">
        <v>4</v>
      </c>
      <c r="N14" s="10" t="n">
        <v>6</v>
      </c>
      <c r="O14" s="13" t="n">
        <v>22</v>
      </c>
      <c r="P14" s="11" t="inlineStr">
        <is>
          <t>多源聚合+估值价格发布，赋能其他模块</t>
        </is>
      </c>
    </row>
    <row r="15" ht="28" customHeight="1">
      <c r="A15" s="10" t="n">
        <v>13</v>
      </c>
      <c r="B15" s="11" t="inlineStr">
        <is>
          <t>交易对手管理</t>
        </is>
      </c>
      <c r="C15" s="11" t="inlineStr">
        <is>
          <t>Counterparty Management</t>
        </is>
      </c>
      <c r="D15" s="11" t="inlineStr">
        <is>
          <t>中台信用</t>
        </is>
      </c>
      <c r="E15" s="12" t="inlineStr">
        <is>
          <t>P2</t>
        </is>
      </c>
      <c r="F15" s="10" t="inlineStr">
        <is>
          <t>★★★★☆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15" t="inlineStr">
        <is>
          <t>中大</t>
        </is>
      </c>
      <c r="K15" s="11" t="inlineStr">
        <is>
          <t>衡泰/专项系统</t>
        </is>
      </c>
      <c r="L15" s="11" t="inlineStr">
        <is>
          <t>ARC信用模块</t>
        </is>
      </c>
      <c r="M15" s="10" t="n">
        <v>8</v>
      </c>
      <c r="N15" s="10" t="n">
        <v>8</v>
      </c>
      <c r="O15" s="13" t="n">
        <v>56</v>
      </c>
      <c r="P15" s="11" t="inlineStr">
        <is>
          <t>ISDA/CSA管理+CVA/DVA计算</t>
        </is>
      </c>
    </row>
    <row r="16" ht="28" customHeight="1">
      <c r="A16" s="10" t="n">
        <v>14</v>
      </c>
      <c r="B16" s="11" t="inlineStr">
        <is>
          <t>清算结算后台</t>
        </is>
      </c>
      <c r="C16" s="11" t="inlineStr">
        <is>
          <t>Clearing &amp; Settlement</t>
        </is>
      </c>
      <c r="D16" s="11" t="inlineStr">
        <is>
          <t>后台运营</t>
        </is>
      </c>
      <c r="E16" s="12" t="inlineStr">
        <is>
          <t>P2</t>
        </is>
      </c>
      <c r="F16" s="10" t="inlineStr">
        <is>
          <t>★★★★☆</t>
        </is>
      </c>
      <c r="G16" s="10" t="inlineStr">
        <is>
          <t>★★★★☆</t>
        </is>
      </c>
      <c r="H16" s="10" t="inlineStr">
        <is>
          <t>L2</t>
        </is>
      </c>
      <c r="I16" s="10" t="inlineStr">
        <is>
          <t>L3</t>
        </is>
      </c>
      <c r="J16" s="7" t="inlineStr">
        <is>
          <t>中</t>
        </is>
      </c>
      <c r="K16" s="11" t="inlineStr">
        <is>
          <t>金证/中台</t>
        </is>
      </c>
      <c r="L16" s="11" t="inlineStr">
        <is>
          <t>ACP清算平台</t>
        </is>
      </c>
      <c r="M16" s="10" t="n">
        <v>7</v>
      </c>
      <c r="N16" s="10" t="n">
        <v>8</v>
      </c>
      <c r="O16" s="13" t="n">
        <v>50</v>
      </c>
      <c r="P16" s="11" t="inlineStr">
        <is>
          <t>DVP/FOP+中登中债登接口</t>
        </is>
      </c>
    </row>
    <row r="17" ht="28" customHeight="1">
      <c r="A17" s="16" t="n">
        <v>15</v>
      </c>
      <c r="B17" s="17" t="inlineStr">
        <is>
          <t>做市商系统</t>
        </is>
      </c>
      <c r="C17" s="17" t="inlineStr">
        <is>
          <t>Market Making</t>
        </is>
      </c>
      <c r="D17" s="17" t="inlineStr">
        <is>
          <t>前台做市</t>
        </is>
      </c>
      <c r="E17" s="18" t="inlineStr">
        <is>
          <t>P3</t>
        </is>
      </c>
      <c r="F17" s="16" t="inlineStr">
        <is>
          <t>★★★☆☆</t>
        </is>
      </c>
      <c r="G17" s="16" t="inlineStr">
        <is>
          <t>★★★★★</t>
        </is>
      </c>
      <c r="H17" s="16" t="inlineStr">
        <is>
          <t>L0</t>
        </is>
      </c>
      <c r="I17" s="16" t="inlineStr">
        <is>
          <t>L2</t>
        </is>
      </c>
      <c r="J17" s="14" t="inlineStr">
        <is>
          <t>大</t>
        </is>
      </c>
      <c r="K17" s="17" t="inlineStr">
        <is>
          <t>Murex/专项</t>
        </is>
      </c>
      <c r="L17" s="17" t="inlineStr">
        <is>
          <t>ATP报价接口</t>
        </is>
      </c>
      <c r="M17" s="16" t="n">
        <v>12</v>
      </c>
      <c r="N17" s="16" t="n">
        <v>12</v>
      </c>
      <c r="O17" s="19" t="n">
        <v>120</v>
      </c>
      <c r="P17" s="17" t="inlineStr">
        <is>
          <t>双边报价引擎，需深度市场经验</t>
        </is>
      </c>
    </row>
    <row r="18" ht="28" customHeight="1">
      <c r="A18" s="16" t="n">
        <v>16</v>
      </c>
      <c r="B18" s="17" t="inlineStr">
        <is>
          <t>外汇/外汇衍生品</t>
        </is>
      </c>
      <c r="C18" s="17" t="inlineStr">
        <is>
          <t>FX &amp; FX Derivatives</t>
        </is>
      </c>
      <c r="D18" s="17" t="inlineStr">
        <is>
          <t>前台交易</t>
        </is>
      </c>
      <c r="E18" s="18" t="inlineStr">
        <is>
          <t>P3</t>
        </is>
      </c>
      <c r="F18" s="16" t="inlineStr">
        <is>
          <t>★★★☆☆</t>
        </is>
      </c>
      <c r="G18" s="16" t="inlineStr">
        <is>
          <t>★★★★★</t>
        </is>
      </c>
      <c r="H18" s="16" t="inlineStr">
        <is>
          <t>L0</t>
        </is>
      </c>
      <c r="I18" s="16" t="inlineStr">
        <is>
          <t>L2</t>
        </is>
      </c>
      <c r="J18" s="14" t="inlineStr">
        <is>
          <t>大</t>
        </is>
      </c>
      <c r="K18" s="17" t="inlineStr">
        <is>
          <t>Murex/Bloomberg</t>
        </is>
      </c>
      <c r="L18" s="17" t="inlineStr">
        <is>
          <t>无</t>
        </is>
      </c>
      <c r="M18" s="16" t="n">
        <v>12</v>
      </c>
      <c r="N18" s="16" t="n">
        <v>10</v>
      </c>
      <c r="O18" s="19" t="n">
        <v>100</v>
      </c>
      <c r="P18" s="17" t="inlineStr">
        <is>
          <t>FX/NDF市场门槛极高，建议Phase 3</t>
        </is>
      </c>
    </row>
    <row r="19">
      <c r="A19" s="20" t="inlineStr">
        <is>
          <t>合计 / Totals</t>
        </is>
      </c>
      <c r="M19" s="21">
        <f>SUM(M3:M18)</f>
        <v/>
      </c>
      <c r="N19" s="21">
        <f>MAX(N3:N18)</f>
        <v/>
      </c>
      <c r="O19" s="21">
        <f>SUM(O3:O18)</f>
        <v/>
      </c>
      <c r="P19" s="22" t="inlineStr">
        <is>
          <t>P1: 8模块(6项快赢+2项核心)  |  P2: 6模块  |  P3: 2模块</t>
        </is>
      </c>
    </row>
  </sheetData>
  <mergeCells count="2">
    <mergeCell ref="A19:L19"/>
    <mergeCell ref="A1:P1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3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4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5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5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5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5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4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4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5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4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5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4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4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4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5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4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5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5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4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5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4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5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5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4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4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5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4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4" t="inlineStr">
        <is>
          <t>高</t>
        </is>
      </c>
      <c r="H30" s="8" t="n">
        <v>30</v>
      </c>
    </row>
    <row r="31" ht="20" customHeight="1">
      <c r="A31" s="23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4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5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5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4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4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5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5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4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5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4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4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5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5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5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5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4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4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5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5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5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5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5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5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5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6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4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5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6" t="inlineStr">
        <is>
          <t>低</t>
        </is>
      </c>
      <c r="H59" s="8" t="n">
        <v>15</v>
      </c>
    </row>
    <row r="60" ht="20" customHeight="1">
      <c r="A60" s="27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8" t="inlineStr">
        <is>
          <t>管理人与基础信息管理</t>
        </is>
      </c>
      <c r="E61" s="11" t="inlineStr">
        <is>
          <t>管理人黑名单维护，基金策略分类，基金基础要素（规模/净值/评级）录入与更新</t>
        </is>
      </c>
      <c r="F61" s="11" t="inlineStr">
        <is>
          <t>功能测试通过</t>
        </is>
      </c>
      <c r="G61" s="26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8" t="inlineStr">
        <is>
          <t>基金资产信息获取</t>
        </is>
      </c>
      <c r="E62" s="11" t="inlineStr">
        <is>
          <t>通过邮箱/API自动获取基金资产报告，解析持仓明细并入库，多来源数据合并去重</t>
        </is>
      </c>
      <c r="F62" s="11" t="inlineStr">
        <is>
          <t>功能测试通过/正确率100%</t>
        </is>
      </c>
      <c r="G62" s="25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8" t="inlineStr">
        <is>
          <t>交易录入与审核</t>
        </is>
      </c>
      <c r="E63" s="11" t="inlineStr">
        <is>
          <t>申购/赎回/换仓交易录入，交易明细管理，双级审核工作流，审批记录留痕</t>
        </is>
      </c>
      <c r="F63" s="11" t="inlineStr">
        <is>
          <t>功能测试通过/正确率100%</t>
        </is>
      </c>
      <c r="G63" s="25" t="inlineStr">
        <is>
          <t>中</t>
        </is>
      </c>
      <c r="H63" s="13" t="n">
        <v>20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8" t="inlineStr">
        <is>
          <t>组合风控报告生成</t>
        </is>
      </c>
      <c r="E64" s="11" t="inlineStr">
        <is>
          <t>按管理人策略限制/投资占比限制/白名单分类生成风控日报和周报，自动推送给风控人员</t>
        </is>
      </c>
      <c r="F64" s="11" t="inlineStr">
        <is>
          <t>功能测试通过/正确率100%</t>
        </is>
      </c>
      <c r="G64" s="25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8" t="inlineStr">
        <is>
          <t>子基金持仓穿透</t>
        </is>
      </c>
      <c r="E65" s="11" t="inlineStr">
        <is>
          <t>穿透底层基金持仓至个券/个股层面，合并计算组合总敞口，支持集中度与评级分布分析</t>
        </is>
      </c>
      <c r="F65" s="11" t="inlineStr">
        <is>
          <t>功能完整/边界测试/集成冒烟/性能基线</t>
        </is>
      </c>
      <c r="G65" s="24" t="inlineStr">
        <is>
          <t>高</t>
        </is>
      </c>
      <c r="H65" s="13" t="n">
        <v>25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8" t="inlineStr">
        <is>
          <t>申赎情况跟踪</t>
        </is>
      </c>
      <c r="E66" s="11" t="inlineStr">
        <is>
          <t>子基金申购/赎回状态全生命周期跟踪，到账确认，净值更新后自动触发持仓重算</t>
        </is>
      </c>
      <c r="F66" s="11" t="inlineStr">
        <is>
          <t>功能测试通过/正确率100%</t>
        </is>
      </c>
      <c r="G66" s="25" t="inlineStr">
        <is>
          <t>中</t>
        </is>
      </c>
      <c r="H66" s="13" t="n">
        <v>15</v>
      </c>
    </row>
    <row r="67" ht="20" customHeight="1">
      <c r="A67" s="23" t="inlineStr">
        <is>
          <t>【P1】 FICC风险计量平台  (FICC Risk Measurement)</t>
        </is>
      </c>
    </row>
    <row r="68" ht="28" customHeight="1">
      <c r="A68" s="5" t="inlineStr">
        <is>
          <t>FICC风险计量平台</t>
        </is>
      </c>
      <c r="B68" s="3" t="inlineStr">
        <is>
          <t>P1</t>
        </is>
      </c>
      <c r="C68" s="3" t="inlineStr">
        <is>
          <t>F04-01</t>
        </is>
      </c>
      <c r="D68" s="4" t="inlineStr">
        <is>
          <t>VaR/CVaR/ES计算</t>
        </is>
      </c>
      <c r="E68" s="5" t="inlineStr">
        <is>
          <t>历史模拟法/参数法/蒙特卡洛三模式，置信度99%/99.5%可选</t>
        </is>
      </c>
      <c r="F68" s="5" t="inlineStr">
        <is>
          <t>p99延迟/误差率/精度验证/压测10k TPS</t>
        </is>
      </c>
      <c r="G68" s="29" t="inlineStr">
        <is>
          <t>极高</t>
        </is>
      </c>
      <c r="H68" s="8" t="n">
        <v>60</v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F04-02</t>
        </is>
      </c>
      <c r="D69" s="4" t="inlineStr">
        <is>
          <t>压力测试情景库</t>
        </is>
      </c>
      <c r="E69" s="5" t="inlineStr">
        <is>
          <t>内置924行情/2015股灾/2020疫情等10+情景，支持自定义</t>
        </is>
      </c>
      <c r="F69" s="5" t="inlineStr">
        <is>
          <t>功能完整/边界测试/集成冒烟/性能基线</t>
        </is>
      </c>
      <c r="G69" s="24" t="inlineStr">
        <is>
          <t>高</t>
        </is>
      </c>
      <c r="H69" s="8" t="n">
        <v>40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F04-03</t>
        </is>
      </c>
      <c r="D70" s="4" t="inlineStr">
        <is>
          <t>限额体系与超限预警</t>
        </is>
      </c>
      <c r="E70" s="5" t="inlineStr">
        <is>
          <t>交易员/策略/产品/公司4级限额，实时穿透预警，告警推送</t>
        </is>
      </c>
      <c r="F70" s="5" t="inlineStr">
        <is>
          <t>功能完整/边界测试/集成冒烟/性能基线</t>
        </is>
      </c>
      <c r="G70" s="24" t="inlineStr">
        <is>
          <t>高</t>
        </is>
      </c>
      <c r="H70" s="8" t="n">
        <v>30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F04-04</t>
        </is>
      </c>
      <c r="D71" s="4" t="inlineStr">
        <is>
          <t>信用风险（CCR）</t>
        </is>
      </c>
      <c r="E71" s="5" t="inlineStr">
        <is>
          <t>交易对手敞口实时聚合，EEPE/PFE/CVA估算</t>
        </is>
      </c>
      <c r="F71" s="5" t="inlineStr">
        <is>
          <t>p99延迟/误差率/精度验证/压测10k TPS</t>
        </is>
      </c>
      <c r="G71" s="29" t="inlineStr">
        <is>
          <t>极高</t>
        </is>
      </c>
      <c r="H71" s="8" t="n">
        <v>50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F04-05</t>
        </is>
      </c>
      <c r="D72" s="4" t="inlineStr">
        <is>
          <t>希腊字母（Greeks）</t>
        </is>
      </c>
      <c r="E72" s="5" t="inlineStr">
        <is>
          <t>Delta/Gamma/Vega/Theta/DV01日内实时计算，覆盖固收+衍生品</t>
        </is>
      </c>
      <c r="F72" s="5" t="inlineStr">
        <is>
          <t>功能完整/边界测试/集成冒烟/性能基线</t>
        </is>
      </c>
      <c r="G72" s="24" t="inlineStr">
        <is>
          <t>高</t>
        </is>
      </c>
      <c r="H72" s="8" t="n">
        <v>35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F04-06</t>
        </is>
      </c>
      <c r="D73" s="4" t="inlineStr">
        <is>
          <t>风险报告自动化</t>
        </is>
      </c>
      <c r="E73" s="5" t="inlineStr">
        <is>
          <t>每日风险报告（Excel/PDF）自动生成，支持监管报送格式</t>
        </is>
      </c>
      <c r="F73" s="5" t="inlineStr">
        <is>
          <t>功能测试通过/正确率100%</t>
        </is>
      </c>
      <c r="G73" s="25" t="inlineStr">
        <is>
          <t>中</t>
        </is>
      </c>
      <c r="H73" s="8" t="n">
        <v>20</v>
      </c>
    </row>
    <row r="74" ht="20" customHeight="1">
      <c r="A74" s="23" t="inlineStr">
        <is>
          <t>【P1】 异常交易风控  (Abnormal Trade Monitor)</t>
        </is>
      </c>
    </row>
    <row r="75" ht="28" customHeight="1">
      <c r="A75" s="5" t="inlineStr">
        <is>
          <t>异常交易风控</t>
        </is>
      </c>
      <c r="B75" s="3" t="inlineStr">
        <is>
          <t>P1</t>
        </is>
      </c>
      <c r="C75" s="3" t="inlineStr">
        <is>
          <t>F05-01</t>
        </is>
      </c>
      <c r="D75" s="4" t="inlineStr">
        <is>
          <t>实时CEP监控引擎</t>
        </is>
      </c>
      <c r="E75" s="5" t="inlineStr">
        <is>
          <t>基于复杂事件处理（CEP），毫秒级事件流检测，滑动窗口聚合</t>
        </is>
      </c>
      <c r="F75" s="5" t="inlineStr">
        <is>
          <t>p99延迟/误差率/精度验证/压测10k TPS</t>
        </is>
      </c>
      <c r="G75" s="29" t="inlineStr">
        <is>
          <t>极高</t>
        </is>
      </c>
      <c r="H75" s="8" t="n">
        <v>50</v>
      </c>
    </row>
    <row r="76" ht="28" customHeight="1">
      <c r="A76" s="5" t="inlineStr">
        <is>
          <t>异常交易风控</t>
        </is>
      </c>
      <c r="B76" s="3" t="inlineStr">
        <is>
          <t>P1</t>
        </is>
      </c>
      <c r="C76" s="3" t="inlineStr">
        <is>
          <t>F05-02</t>
        </is>
      </c>
      <c r="D76" s="4" t="inlineStr">
        <is>
          <t>异常价格检测</t>
        </is>
      </c>
      <c r="E76" s="5" t="inlineStr">
        <is>
          <t>基于历史分位数/实时行情计算价格偏离度，动态阈值自适应</t>
        </is>
      </c>
      <c r="F76" s="5" t="inlineStr">
        <is>
          <t>功能完整/边界测试/集成冒烟/性能基线</t>
        </is>
      </c>
      <c r="G76" s="24" t="inlineStr">
        <is>
          <t>高</t>
        </is>
      </c>
      <c r="H76" s="8" t="n">
        <v>25</v>
      </c>
    </row>
    <row r="77" ht="28" customHeight="1">
      <c r="A77" s="5" t="inlineStr">
        <is>
          <t>异常交易风控</t>
        </is>
      </c>
      <c r="B77" s="3" t="inlineStr">
        <is>
          <t>P1</t>
        </is>
      </c>
      <c r="C77" s="3" t="inlineStr">
        <is>
          <t>F05-03</t>
        </is>
      </c>
      <c r="D77" s="4" t="inlineStr">
        <is>
          <t>AI异常识别模型</t>
        </is>
      </c>
      <c r="E77" s="5" t="inlineStr">
        <is>
          <t>机器学习（XGBoost/LSTM）训练异常交易识别模型，在线推理</t>
        </is>
      </c>
      <c r="F77" s="5" t="inlineStr">
        <is>
          <t>功能完整/边界测试/集成冒烟/性能基线</t>
        </is>
      </c>
      <c r="G77" s="24" t="inlineStr">
        <is>
          <t>高</t>
        </is>
      </c>
      <c r="H77" s="8" t="n">
        <v>40</v>
      </c>
    </row>
    <row r="78" ht="28" customHeight="1">
      <c r="A78" s="5" t="inlineStr">
        <is>
          <t>异常交易风控</t>
        </is>
      </c>
      <c r="B78" s="3" t="inlineStr">
        <is>
          <t>P1</t>
        </is>
      </c>
      <c r="C78" s="3" t="inlineStr">
        <is>
          <t>F05-04</t>
        </is>
      </c>
      <c r="D78" s="4" t="inlineStr">
        <is>
          <t>规则引擎（可配置）</t>
        </is>
      </c>
      <c r="E78" s="5" t="inlineStr">
        <is>
          <t>No-Code规则配置界面，合规人员自助维护检测规则</t>
        </is>
      </c>
      <c r="F78" s="5" t="inlineStr">
        <is>
          <t>功能测试通过/正确率100%</t>
        </is>
      </c>
      <c r="G78" s="25" t="inlineStr">
        <is>
          <t>中</t>
        </is>
      </c>
      <c r="H78" s="8" t="n">
        <v>20</v>
      </c>
    </row>
    <row r="79" ht="28" customHeight="1">
      <c r="A79" s="5" t="inlineStr">
        <is>
          <t>异常交易风控</t>
        </is>
      </c>
      <c r="B79" s="3" t="inlineStr">
        <is>
          <t>P1</t>
        </is>
      </c>
      <c r="C79" s="3" t="inlineStr">
        <is>
          <t>F05-05</t>
        </is>
      </c>
      <c r="D79" s="4" t="inlineStr">
        <is>
          <t>监管报送自动化</t>
        </is>
      </c>
      <c r="E79" s="5" t="inlineStr">
        <is>
          <t>一键生成证监会/人行格式异常交易报告，历史追溯查询</t>
        </is>
      </c>
      <c r="F79" s="5" t="inlineStr">
        <is>
          <t>功能测试通过/正确率100%</t>
        </is>
      </c>
      <c r="G79" s="25" t="inlineStr">
        <is>
          <t>中</t>
        </is>
      </c>
      <c r="H79" s="8" t="n">
        <v>25</v>
      </c>
    </row>
    <row r="80" ht="20" customHeight="1">
      <c r="A80" s="23" t="inlineStr">
        <is>
          <t>【P1】 事前风控/合规  (Pre-trade Risk)</t>
        </is>
      </c>
    </row>
    <row r="81" ht="28" customHeight="1">
      <c r="A81" s="5" t="inlineStr">
        <is>
          <t>事前风控/合规</t>
        </is>
      </c>
      <c r="B81" s="3" t="inlineStr">
        <is>
          <t>P1</t>
        </is>
      </c>
      <c r="C81" s="3" t="inlineStr">
        <is>
          <t>F06-01</t>
        </is>
      </c>
      <c r="D81" s="4" t="inlineStr">
        <is>
          <t>投资策略合规规则库</t>
        </is>
      </c>
      <c r="E81" s="5" t="inlineStr">
        <is>
          <t>内置1000+条监管规则（投资指引/证监会规定），支持新增</t>
        </is>
      </c>
      <c r="F81" s="5" t="inlineStr">
        <is>
          <t>功能完整/边界测试/集成冒烟/性能基线</t>
        </is>
      </c>
      <c r="G81" s="24" t="inlineStr">
        <is>
          <t>高</t>
        </is>
      </c>
      <c r="H81" s="8" t="n">
        <v>30</v>
      </c>
    </row>
    <row r="82" ht="28" customHeight="1">
      <c r="A82" s="5" t="inlineStr">
        <is>
          <t>事前风控/合规</t>
        </is>
      </c>
      <c r="B82" s="3" t="inlineStr">
        <is>
          <t>P1</t>
        </is>
      </c>
      <c r="C82" s="3" t="inlineStr">
        <is>
          <t>F06-02</t>
        </is>
      </c>
      <c r="D82" s="4" t="inlineStr">
        <is>
          <t>实时订单拦截</t>
        </is>
      </c>
      <c r="E82" s="5" t="inlineStr">
        <is>
          <t>在交易指令提交前同步校验，不满足规则则拦截+原因告知</t>
        </is>
      </c>
      <c r="F82" s="5" t="inlineStr">
        <is>
          <t>p99延迟/误差率/精度验证/压测10k TPS</t>
        </is>
      </c>
      <c r="G82" s="29" t="inlineStr">
        <is>
          <t>极高</t>
        </is>
      </c>
      <c r="H82" s="8" t="n">
        <v>25</v>
      </c>
    </row>
    <row r="83" ht="28" customHeight="1">
      <c r="A83" s="5" t="inlineStr">
        <is>
          <t>事前风控/合规</t>
        </is>
      </c>
      <c r="B83" s="3" t="inlineStr">
        <is>
          <t>P1</t>
        </is>
      </c>
      <c r="C83" s="3" t="inlineStr">
        <is>
          <t>F06-03</t>
        </is>
      </c>
      <c r="D83" s="4" t="inlineStr">
        <is>
          <t>限额多维度检查</t>
        </is>
      </c>
      <c r="E83" s="5" t="inlineStr">
        <is>
          <t>单笔名义/资产类别/集中度/净敞口/利率敏感度多维并行检查</t>
        </is>
      </c>
      <c r="F83" s="5" t="inlineStr">
        <is>
          <t>功能完整/边界测试/集成冒烟/性能基线</t>
        </is>
      </c>
      <c r="G83" s="24" t="inlineStr">
        <is>
          <t>高</t>
        </is>
      </c>
      <c r="H83" s="8" t="n">
        <v>25</v>
      </c>
    </row>
    <row r="84" ht="28" customHeight="1">
      <c r="A84" s="5" t="inlineStr">
        <is>
          <t>事前风控/合规</t>
        </is>
      </c>
      <c r="B84" s="3" t="inlineStr">
        <is>
          <t>P1</t>
        </is>
      </c>
      <c r="C84" s="3" t="inlineStr">
        <is>
          <t>F06-04</t>
        </is>
      </c>
      <c r="D84" s="4" t="inlineStr">
        <is>
          <t>合规审批工作流</t>
        </is>
      </c>
      <c r="E84" s="5" t="inlineStr">
        <is>
          <t>超限申请→审批→记录全流程，支持移动端审批</t>
        </is>
      </c>
      <c r="F84" s="5" t="inlineStr">
        <is>
          <t>功能测试通过/正确率100%</t>
        </is>
      </c>
      <c r="G84" s="25" t="inlineStr">
        <is>
          <t>中</t>
        </is>
      </c>
      <c r="H84" s="8" t="n">
        <v>15</v>
      </c>
    </row>
    <row r="85" ht="28" customHeight="1">
      <c r="A85" s="5" t="inlineStr">
        <is>
          <t>事前风控/合规</t>
        </is>
      </c>
      <c r="B85" s="3" t="inlineStr">
        <is>
          <t>P1</t>
        </is>
      </c>
      <c r="C85" s="3" t="inlineStr">
        <is>
          <t>F06-05</t>
        </is>
      </c>
      <c r="D85" s="4" t="inlineStr">
        <is>
          <t>监管白/黑名单</t>
        </is>
      </c>
      <c r="E85" s="5" t="inlineStr">
        <is>
          <t>证券/交易对手监管限制名单实时同步，拦截违规交易</t>
        </is>
      </c>
      <c r="F85" s="5" t="inlineStr">
        <is>
          <t>功能测试通过/正确率100%</t>
        </is>
      </c>
      <c r="G85" s="25" t="inlineStr">
        <is>
          <t>中</t>
        </is>
      </c>
      <c r="H85" s="8" t="n">
        <v>15</v>
      </c>
    </row>
    <row r="86" ht="20" customHeight="1">
      <c r="A86" s="23" t="inlineStr">
        <is>
          <t>【P1】 组合管理+绩效归因  (Portfolio Mgmt &amp; Perf)</t>
        </is>
      </c>
    </row>
    <row r="87" ht="28" customHeight="1">
      <c r="A87" s="5" t="inlineStr">
        <is>
          <t>组合管理+绩效归因</t>
        </is>
      </c>
      <c r="B87" s="3" t="inlineStr">
        <is>
          <t>P1</t>
        </is>
      </c>
      <c r="C87" s="3" t="inlineStr">
        <is>
          <t>F07-01</t>
        </is>
      </c>
      <c r="D87" s="4" t="inlineStr">
        <is>
          <t>债券横截面与时序分析</t>
        </is>
      </c>
      <c r="E87" s="5" t="inlineStr">
        <is>
          <t>跨品种横截面信号挖掘（利差/久期偏差），历史时序趋势与均值回归分析</t>
        </is>
      </c>
      <c r="F87" s="5" t="inlineStr">
        <is>
          <t>横截面信号与实际收益相关性&gt;0.3</t>
        </is>
      </c>
      <c r="G87" s="24" t="inlineStr">
        <is>
          <t>高</t>
        </is>
      </c>
      <c r="H87" s="8" t="n">
        <v>35</v>
      </c>
    </row>
    <row r="88" ht="28" customHeight="1">
      <c r="A88" s="5" t="inlineStr">
        <is>
          <t>组合管理+绩效归因</t>
        </is>
      </c>
      <c r="B88" s="3" t="inlineStr">
        <is>
          <t>P1</t>
        </is>
      </c>
      <c r="C88" s="3" t="inlineStr">
        <is>
          <t>F07-02</t>
        </is>
      </c>
      <c r="D88" s="4" t="inlineStr">
        <is>
          <t>相对价值分析</t>
        </is>
      </c>
      <c r="E88" s="5" t="inlineStr">
        <is>
          <t>利差/Z-spread/OAS相对价值计算，历史分位数定位，跨品种套利信号识别</t>
        </is>
      </c>
      <c r="F88" s="5" t="inlineStr">
        <is>
          <t>OAS计算误差&lt;1bps，分位数覆盖5年历史</t>
        </is>
      </c>
      <c r="G88" s="24" t="inlineStr">
        <is>
          <t>高</t>
        </is>
      </c>
      <c r="H88" s="8" t="n">
        <v>30</v>
      </c>
    </row>
    <row r="89" ht="28" customHeight="1">
      <c r="A89" s="5" t="inlineStr">
        <is>
          <t>组合管理+绩效归因</t>
        </is>
      </c>
      <c r="B89" s="3" t="inlineStr">
        <is>
          <t>P1</t>
        </is>
      </c>
      <c r="C89" s="3" t="inlineStr">
        <is>
          <t>F07-03</t>
        </is>
      </c>
      <c r="D89" s="4" t="inlineStr">
        <is>
          <t>组合相关度分析</t>
        </is>
      </c>
      <c r="E89" s="5" t="inlineStr">
        <is>
          <t>资产间收益相关矩阵计算（滚动60/120/250日），组合集中度风险识别，分散化系数监控</t>
        </is>
      </c>
      <c r="F89" s="5" t="inlineStr">
        <is>
          <t>相关矩阵计算&lt;30s（500券组合）</t>
        </is>
      </c>
      <c r="G89" s="25" t="inlineStr">
        <is>
          <t>中</t>
        </is>
      </c>
      <c r="H89" s="8" t="n">
        <v>25</v>
      </c>
    </row>
    <row r="90" ht="28" customHeight="1">
      <c r="A90" s="5" t="inlineStr">
        <is>
          <t>组合管理+绩效归因</t>
        </is>
      </c>
      <c r="B90" s="3" t="inlineStr">
        <is>
          <t>P1</t>
        </is>
      </c>
      <c r="C90" s="3" t="inlineStr">
        <is>
          <t>F07-04</t>
        </is>
      </c>
      <c r="D90" s="4" t="inlineStr">
        <is>
          <t>情景分析</t>
        </is>
      </c>
      <c r="E90" s="5" t="inlineStr">
        <is>
          <t>利率/信用/流动性三类自定义情景，组合P&amp;L影响量化，多情景并行对比</t>
        </is>
      </c>
      <c r="F90" s="5" t="inlineStr">
        <is>
          <t>情景P&amp;L与手工核算误差&lt;0.5%，支持≥20情景并行</t>
        </is>
      </c>
      <c r="G90" s="24" t="inlineStr">
        <is>
          <t>高</t>
        </is>
      </c>
      <c r="H90" s="8" t="n">
        <v>35</v>
      </c>
    </row>
    <row r="91" ht="28" customHeight="1">
      <c r="A91" s="5" t="inlineStr">
        <is>
          <t>组合管理+绩效归因</t>
        </is>
      </c>
      <c r="B91" s="3" t="inlineStr">
        <is>
          <t>P1</t>
        </is>
      </c>
      <c r="C91" s="3" t="inlineStr">
        <is>
          <t>F07-05</t>
        </is>
      </c>
      <c r="D91" s="4" t="inlineStr">
        <is>
          <t>敏感度分析</t>
        </is>
      </c>
      <c r="E91" s="5" t="inlineStr">
        <is>
          <t>久期/DV01/凸度/利差/Vega敏感度多因子并行计算，组合对冲比率建议</t>
        </is>
      </c>
      <c r="F91" s="5" t="inlineStr">
        <is>
          <t>DV01与Bloomberg基准误差&lt;0.5bps</t>
        </is>
      </c>
      <c r="G91" s="24" t="inlineStr">
        <is>
          <t>高</t>
        </is>
      </c>
      <c r="H91" s="8" t="n">
        <v>25</v>
      </c>
    </row>
    <row r="92" ht="28" customHeight="1">
      <c r="A92" s="5" t="inlineStr">
        <is>
          <t>组合管理+绩效归因</t>
        </is>
      </c>
      <c r="B92" s="3" t="inlineStr">
        <is>
          <t>P1</t>
        </is>
      </c>
      <c r="C92" s="3" t="inlineStr">
        <is>
          <t>F07-06</t>
        </is>
      </c>
      <c r="D92" s="4" t="inlineStr">
        <is>
          <t>极端事件分析</t>
        </is>
      </c>
      <c r="E92" s="5" t="inlineStr">
        <is>
          <t>历史极端情景（924行情/2015股灾/2020疫情等8+情景），组合尾部损失分布，ES(99%)计算</t>
        </is>
      </c>
      <c r="F92" s="5" t="inlineStr">
        <is>
          <t>历史情景复现误差&lt;1%</t>
        </is>
      </c>
      <c r="G92" s="24" t="inlineStr">
        <is>
          <t>高</t>
        </is>
      </c>
      <c r="H92" s="8" t="n">
        <v>30</v>
      </c>
    </row>
    <row r="93" ht="28" customHeight="1">
      <c r="A93" s="5" t="inlineStr">
        <is>
          <t>组合管理+绩效归因</t>
        </is>
      </c>
      <c r="B93" s="3" t="inlineStr">
        <is>
          <t>P1</t>
        </is>
      </c>
      <c r="C93" s="3" t="inlineStr">
        <is>
          <t>F07-07</t>
        </is>
      </c>
      <c r="D93" s="4" t="inlineStr">
        <is>
          <t>指数比较分析</t>
        </is>
      </c>
      <c r="E93" s="5" t="inlineStr">
        <is>
          <t>对标中债综合/信用/政策行等指数，跟踪误差（TE）日频监控，超额Alpha三因子分解</t>
        </is>
      </c>
      <c r="F93" s="5" t="inlineStr">
        <is>
          <t>TE计算误差&lt;1bps，支持≥10基准指数</t>
        </is>
      </c>
      <c r="G93" s="25" t="inlineStr">
        <is>
          <t>中</t>
        </is>
      </c>
      <c r="H93" s="8" t="n">
        <v>25</v>
      </c>
    </row>
    <row r="94" ht="28" customHeight="1">
      <c r="A94" s="5" t="inlineStr">
        <is>
          <t>组合管理+绩效归因</t>
        </is>
      </c>
      <c r="B94" s="3" t="inlineStr">
        <is>
          <t>P1</t>
        </is>
      </c>
      <c r="C94" s="3" t="inlineStr">
        <is>
          <t>F07-08</t>
        </is>
      </c>
      <c r="D94" s="4" t="inlineStr">
        <is>
          <t>绩效归因（Brinson）</t>
        </is>
      </c>
      <c r="E94" s="5" t="inlineStr">
        <is>
          <t>BHB三效应：资产配置/个券选择/交互效应，日/周/月/季多维度，报告PDF自动生成</t>
        </is>
      </c>
      <c r="F94" s="5" t="inlineStr">
        <is>
          <t>Brinson结果与Bloomberg AIM误差&lt;0.1%，T+1 9:00前自动报告</t>
        </is>
      </c>
      <c r="G94" s="24" t="inlineStr">
        <is>
          <t>高</t>
        </is>
      </c>
      <c r="H94" s="8" t="n">
        <v>40</v>
      </c>
    </row>
    <row r="95" ht="28" customHeight="1">
      <c r="A95" s="5" t="inlineStr">
        <is>
          <t>组合管理+绩效归因</t>
        </is>
      </c>
      <c r="B95" s="3" t="inlineStr">
        <is>
          <t>P1</t>
        </is>
      </c>
      <c r="C95" s="3" t="inlineStr">
        <is>
          <t>F07-09</t>
        </is>
      </c>
      <c r="D95" s="4" t="inlineStr">
        <is>
          <t>虚拟组合分析</t>
        </is>
      </c>
      <c r="E95" s="5" t="inlineStr">
        <is>
          <t>组合调整前后净值/风险/收益效果模拟（纸面交易），冲击成本预估，多方案对比</t>
        </is>
      </c>
      <c r="F95" s="5" t="inlineStr">
        <is>
          <t>虚拟组合模拟与真实执行偏差&lt;0.3%</t>
        </is>
      </c>
      <c r="G95" s="24" t="inlineStr">
        <is>
          <t>高</t>
        </is>
      </c>
      <c r="H95" s="8" t="n">
        <v>20</v>
      </c>
    </row>
    <row r="96" ht="28" customHeight="1">
      <c r="A96" s="5" t="inlineStr">
        <is>
          <t>组合管理+绩效归因</t>
        </is>
      </c>
      <c r="B96" s="3" t="inlineStr">
        <is>
          <t>P1</t>
        </is>
      </c>
      <c r="C96" s="3" t="inlineStr">
        <is>
          <t>F07-10</t>
        </is>
      </c>
      <c r="D96" s="4" t="inlineStr">
        <is>
          <t>再平衡方案试算与比较</t>
        </is>
      </c>
      <c r="E96" s="5" t="inlineStr">
        <is>
          <t>久期/集中度/流动性/合规约束联合优化（二次规划QP），多方案并行试算，最优路径推荐</t>
        </is>
      </c>
      <c r="F96" s="5" t="inlineStr">
        <is>
          <t>QP求解100券组合&lt;5s，约束满足率100%</t>
        </is>
      </c>
      <c r="G96" s="24" t="inlineStr">
        <is>
          <t>高</t>
        </is>
      </c>
      <c r="H96" s="8" t="n">
        <v>35</v>
      </c>
    </row>
    <row r="97" ht="28" customHeight="1">
      <c r="A97" s="5" t="inlineStr">
        <is>
          <t>组合管理+绩效归因</t>
        </is>
      </c>
      <c r="B97" s="3" t="inlineStr">
        <is>
          <t>P1</t>
        </is>
      </c>
      <c r="C97" s="3" t="inlineStr">
        <is>
          <t>F07-11</t>
        </is>
      </c>
      <c r="D97" s="4" t="inlineStr">
        <is>
          <t>资产配置策略分析</t>
        </is>
      </c>
      <c r="E97" s="5" t="inlineStr">
        <is>
          <t>宏观因子（利率/信用/流动性周期）驱动大类资产配置模型，动态权重优化，历史回测验证</t>
        </is>
      </c>
      <c r="F97" s="5" t="inlineStr">
        <is>
          <t>回测期≥5年，预测方向胜率&gt;55%</t>
        </is>
      </c>
      <c r="G97" s="24" t="inlineStr">
        <is>
          <t>高</t>
        </is>
      </c>
      <c r="H97" s="8" t="n">
        <v>40</v>
      </c>
    </row>
    <row r="98" ht="28" customHeight="1">
      <c r="A98" s="5" t="inlineStr">
        <is>
          <t>组合管理+绩效归因</t>
        </is>
      </c>
      <c r="B98" s="3" t="inlineStr">
        <is>
          <t>P1</t>
        </is>
      </c>
      <c r="C98" s="3" t="inlineStr">
        <is>
          <t>F07-12</t>
        </is>
      </c>
      <c r="D98" s="4" t="inlineStr">
        <is>
          <t>固收+策略分析</t>
        </is>
      </c>
      <c r="E98" s="5" t="inlineStr">
        <is>
          <t>债券底仓+衍生品增强策略P&amp;L归因，风险分解（利率/信用/期权贡献），固收+净值模拟</t>
        </is>
      </c>
      <c r="F98" s="5" t="inlineStr">
        <is>
          <t>固收+净值模拟与实际偏差&lt;0.5%</t>
        </is>
      </c>
      <c r="G98" s="24" t="inlineStr">
        <is>
          <t>高</t>
        </is>
      </c>
      <c r="H98" s="8" t="n">
        <v>30</v>
      </c>
    </row>
    <row r="99" ht="28" customHeight="1">
      <c r="A99" s="5" t="inlineStr">
        <is>
          <t>组合管理+绩效归因</t>
        </is>
      </c>
      <c r="B99" s="3" t="inlineStr">
        <is>
          <t>P1</t>
        </is>
      </c>
      <c r="C99" s="3" t="inlineStr">
        <is>
          <t>F07-13</t>
        </is>
      </c>
      <c r="D99" s="4" t="inlineStr">
        <is>
          <t>量化策略组合分析</t>
        </is>
      </c>
      <c r="E99" s="5" t="inlineStr">
        <is>
          <t>多策略组合叠加容量约束，策略相关性管理，Sharpe/最大回撤/Calmar实时监控</t>
        </is>
      </c>
      <c r="F99" s="5" t="inlineStr">
        <is>
          <t>策略容量计算误差&lt;5%</t>
        </is>
      </c>
      <c r="G99" s="24" t="inlineStr">
        <is>
          <t>高</t>
        </is>
      </c>
      <c r="H99" s="8" t="n">
        <v>35</v>
      </c>
    </row>
    <row r="100" ht="28" customHeight="1">
      <c r="A100" s="5" t="inlineStr">
        <is>
          <t>组合管理+绩效归因</t>
        </is>
      </c>
      <c r="B100" s="3" t="inlineStr">
        <is>
          <t>P1</t>
        </is>
      </c>
      <c r="C100" s="3" t="inlineStr">
        <is>
          <t>F07-14</t>
        </is>
      </c>
      <c r="D100" s="4" t="inlineStr">
        <is>
          <t>流动性分析</t>
        </is>
      </c>
      <c r="E100" s="5" t="inlineStr">
        <is>
          <t>逐券换手率/市场深度评估，组合变现能力分析，流动性压力下变现损失（LVaR）估算</t>
        </is>
      </c>
      <c r="F100" s="5" t="inlineStr">
        <is>
          <t>LVaR与市场基准误差&lt;5%，日均成交量覆盖≥95%持仓</t>
        </is>
      </c>
      <c r="G100" s="25" t="inlineStr">
        <is>
          <t>中</t>
        </is>
      </c>
      <c r="H100" s="8" t="n">
        <v>20</v>
      </c>
    </row>
    <row r="101" ht="28" customHeight="1">
      <c r="A101" s="5" t="inlineStr">
        <is>
          <t>组合管理+绩效归因</t>
        </is>
      </c>
      <c r="B101" s="3" t="inlineStr">
        <is>
          <t>P1</t>
        </is>
      </c>
      <c r="C101" s="3" t="inlineStr">
        <is>
          <t>F07-15</t>
        </is>
      </c>
      <c r="D101" s="4" t="inlineStr">
        <is>
          <t>定价计算集成</t>
        </is>
      </c>
      <c r="E101" s="5" t="inlineStr">
        <is>
          <t>调用量化定价引擎实时估值与Greeks，含权债/可转债/IRS，结果缓存（Redis）与Kafka推送</t>
        </is>
      </c>
      <c r="F101" s="5" t="inlineStr">
        <is>
          <t>定价API p99&lt;200ms，日终全量估值&lt;30min（10万券）</t>
        </is>
      </c>
      <c r="G101" s="24" t="inlineStr">
        <is>
          <t>高</t>
        </is>
      </c>
      <c r="H101" s="8" t="n">
        <v>20</v>
      </c>
    </row>
    <row r="102" ht="28" customHeight="1">
      <c r="A102" s="5" t="inlineStr">
        <is>
          <t>组合管理+绩效归因</t>
        </is>
      </c>
      <c r="B102" s="3" t="inlineStr">
        <is>
          <t>P1</t>
        </is>
      </c>
      <c r="C102" s="3" t="inlineStr">
        <is>
          <t>F07-16</t>
        </is>
      </c>
      <c r="D102" s="4" t="inlineStr">
        <is>
          <t>利率曲线集成</t>
        </is>
      </c>
      <c r="E102" s="5" t="inlineStr">
        <is>
          <t>多曲线实时消费（国债/政策行/AAA信用/OIS），NS参数提取（水平/斜率/曲率），敏感度映射</t>
        </is>
      </c>
      <c r="F102" s="5" t="inlineStr">
        <is>
          <t>曲线更新延迟&lt;1s，NS拟合R²&gt;0.999</t>
        </is>
      </c>
      <c r="G102" s="25" t="inlineStr">
        <is>
          <t>中</t>
        </is>
      </c>
      <c r="H102" s="8" t="n">
        <v>15</v>
      </c>
    </row>
    <row r="103" ht="28" customHeight="1">
      <c r="A103" s="5" t="inlineStr">
        <is>
          <t>组合管理+绩效归因</t>
        </is>
      </c>
      <c r="B103" s="3" t="inlineStr">
        <is>
          <t>P1</t>
        </is>
      </c>
      <c r="C103" s="3" t="inlineStr">
        <is>
          <t>F07-17</t>
        </is>
      </c>
      <c r="D103" s="4" t="inlineStr">
        <is>
          <t>因子模型</t>
        </is>
      </c>
      <c r="E103" s="5" t="inlineStr">
        <is>
          <t>多因子风险模型（利率/信用/流动性/行业因子），Alpha因子库（≥20因子），因子暴露实时计算</t>
        </is>
      </c>
      <c r="F103" s="5" t="inlineStr">
        <is>
          <t>因子模型解释方差&gt;80%，Alpha IC均值&gt;0.05</t>
        </is>
      </c>
      <c r="G103" s="24" t="inlineStr">
        <is>
          <t>高</t>
        </is>
      </c>
      <c r="H103" s="8" t="n">
        <v>40</v>
      </c>
    </row>
    <row r="104" ht="20" customHeight="1">
      <c r="A104" s="23" t="inlineStr">
        <is>
          <t>【P1】 策略投资/量化  (Quant Strategy)</t>
        </is>
      </c>
    </row>
    <row r="105" ht="28" customHeight="1">
      <c r="A105" s="5" t="inlineStr">
        <is>
          <t>策略投资/量化</t>
        </is>
      </c>
      <c r="B105" s="3" t="inlineStr">
        <is>
          <t>P1</t>
        </is>
      </c>
      <c r="C105" s="3" t="inlineStr">
        <is>
          <t>F08-01</t>
        </is>
      </c>
      <c r="D105" s="4" t="inlineStr">
        <is>
          <t>因子模型框架</t>
        </is>
      </c>
      <c r="E105" s="5" t="inlineStr">
        <is>
          <t>多因子Alpha模型+风险因子，支持自定义因子上传与测试</t>
        </is>
      </c>
      <c r="F105" s="5" t="inlineStr">
        <is>
          <t>功能完整/边界测试/集成冒烟/性能基线</t>
        </is>
      </c>
      <c r="G105" s="24" t="inlineStr">
        <is>
          <t>高</t>
        </is>
      </c>
      <c r="H105" s="8" t="n">
        <v>40</v>
      </c>
    </row>
    <row r="106" ht="28" customHeight="1">
      <c r="A106" s="5" t="inlineStr">
        <is>
          <t>策略投资/量化</t>
        </is>
      </c>
      <c r="B106" s="3" t="inlineStr">
        <is>
          <t>P1</t>
        </is>
      </c>
      <c r="C106" s="3" t="inlineStr">
        <is>
          <t>F08-02</t>
        </is>
      </c>
      <c r="D106" s="4" t="inlineStr">
        <is>
          <t>Tick级回测引擎</t>
        </is>
      </c>
      <c r="E106" s="5" t="inlineStr">
        <is>
          <t>Tick数据驱动回测，真实滑点/冲击模型，批量参数优化</t>
        </is>
      </c>
      <c r="F106" s="5" t="inlineStr">
        <is>
          <t>p99延迟/误差率/精度验证/压测10k TPS</t>
        </is>
      </c>
      <c r="G106" s="29" t="inlineStr">
        <is>
          <t>极高</t>
        </is>
      </c>
      <c r="H106" s="8" t="n">
        <v>60</v>
      </c>
    </row>
    <row r="107" ht="28" customHeight="1">
      <c r="A107" s="5" t="inlineStr">
        <is>
          <t>策略投资/量化</t>
        </is>
      </c>
      <c r="B107" s="3" t="inlineStr">
        <is>
          <t>P1</t>
        </is>
      </c>
      <c r="C107" s="3" t="inlineStr">
        <is>
          <t>F08-03</t>
        </is>
      </c>
      <c r="D107" s="4" t="inlineStr">
        <is>
          <t>信号生成与调度</t>
        </is>
      </c>
      <c r="E107" s="5" t="inlineStr">
        <is>
          <t>策略信号实时计算，支持Python/C++策略脚本沙箱运行</t>
        </is>
      </c>
      <c r="F107" s="5" t="inlineStr">
        <is>
          <t>功能完整/边界测试/集成冒烟/性能基线</t>
        </is>
      </c>
      <c r="G107" s="24" t="inlineStr">
        <is>
          <t>高</t>
        </is>
      </c>
      <c r="H107" s="8" t="n">
        <v>40</v>
      </c>
    </row>
    <row r="108" ht="28" customHeight="1">
      <c r="A108" s="5" t="inlineStr">
        <is>
          <t>策略投资/量化</t>
        </is>
      </c>
      <c r="B108" s="3" t="inlineStr">
        <is>
          <t>P1</t>
        </is>
      </c>
      <c r="C108" s="3" t="inlineStr">
        <is>
          <t>F08-04</t>
        </is>
      </c>
      <c r="D108" s="4" t="inlineStr">
        <is>
          <t>低延迟执行接口</t>
        </is>
      </c>
      <c r="E108" s="5" t="inlineStr">
        <is>
          <t>与ATP超低延迟执行层对接，算法拆单（TWAP/VWAP/IS）</t>
        </is>
      </c>
      <c r="F108" s="5" t="inlineStr">
        <is>
          <t>p99延迟/误差率/精度验证/压测10k TPS</t>
        </is>
      </c>
      <c r="G108" s="29" t="inlineStr">
        <is>
          <t>极高</t>
        </is>
      </c>
      <c r="H108" s="8" t="n">
        <v>45</v>
      </c>
    </row>
    <row r="109" ht="28" customHeight="1">
      <c r="A109" s="5" t="inlineStr">
        <is>
          <t>策略投资/量化</t>
        </is>
      </c>
      <c r="B109" s="3" t="inlineStr">
        <is>
          <t>P1</t>
        </is>
      </c>
      <c r="C109" s="3" t="inlineStr">
        <is>
          <t>F08-05</t>
        </is>
      </c>
      <c r="D109" s="4" t="inlineStr">
        <is>
          <t>实时策略监控</t>
        </is>
      </c>
      <c r="E109" s="5" t="inlineStr">
        <is>
          <t>持仓/PnL/回撤/Sharpe实时看板，风险触发自动平仓</t>
        </is>
      </c>
      <c r="F109" s="5" t="inlineStr">
        <is>
          <t>功能测试通过/正确率100%</t>
        </is>
      </c>
      <c r="G109" s="25" t="inlineStr">
        <is>
          <t>中</t>
        </is>
      </c>
      <c r="H109" s="8" t="n">
        <v>20</v>
      </c>
    </row>
    <row r="110" ht="20" customHeight="1">
      <c r="A110" s="27" t="inlineStr">
        <is>
          <t>【P2】 量化定价引擎  (Quant Pricing Engine)</t>
        </is>
      </c>
    </row>
    <row r="111" ht="28" customHeight="1">
      <c r="A111" s="11" t="inlineStr">
        <is>
          <t>量化定价引擎</t>
        </is>
      </c>
      <c r="B111" s="10" t="inlineStr">
        <is>
          <t>P2</t>
        </is>
      </c>
      <c r="C111" s="10" t="inlineStr">
        <is>
          <t>F09-01</t>
        </is>
      </c>
      <c r="D111" s="28" t="inlineStr">
        <is>
          <t>期限结构模型</t>
        </is>
      </c>
      <c r="E111" s="11" t="inlineStr">
        <is>
          <t>Nelson-Siegel/Svensson/HJM等多模型参数拟合，实时曲线</t>
        </is>
      </c>
      <c r="F111" s="11" t="inlineStr">
        <is>
          <t>p99延迟/误差率/精度验证/压测10k TPS</t>
        </is>
      </c>
      <c r="G111" s="29" t="inlineStr">
        <is>
          <t>极高</t>
        </is>
      </c>
      <c r="H111" s="13" t="n">
        <v>60</v>
      </c>
    </row>
    <row r="112" ht="28" customHeight="1">
      <c r="A112" s="11" t="inlineStr">
        <is>
          <t>量化定价引擎</t>
        </is>
      </c>
      <c r="B112" s="10" t="inlineStr">
        <is>
          <t>P2</t>
        </is>
      </c>
      <c r="C112" s="10" t="inlineStr">
        <is>
          <t>F09-02</t>
        </is>
      </c>
      <c r="D112" s="28" t="inlineStr">
        <is>
          <t>蒙特卡洛求解器</t>
        </is>
      </c>
      <c r="E112" s="11" t="inlineStr">
        <is>
          <t>GPU加速MC，QMC低差异序列，支持路径相关期权定价</t>
        </is>
      </c>
      <c r="F112" s="11" t="inlineStr">
        <is>
          <t>p99延迟/误差率/精度验证/压测10k TPS</t>
        </is>
      </c>
      <c r="G112" s="29" t="inlineStr">
        <is>
          <t>极高</t>
        </is>
      </c>
      <c r="H112" s="13" t="n">
        <v>70</v>
      </c>
    </row>
    <row r="113" ht="28" customHeight="1">
      <c r="A113" s="11" t="inlineStr">
        <is>
          <t>量化定价引擎</t>
        </is>
      </c>
      <c r="B113" s="10" t="inlineStr">
        <is>
          <t>P2</t>
        </is>
      </c>
      <c r="C113" s="10" t="inlineStr">
        <is>
          <t>F09-03</t>
        </is>
      </c>
      <c r="D113" s="28" t="inlineStr">
        <is>
          <t>有限差分（PDE）</t>
        </is>
      </c>
      <c r="E113" s="11" t="inlineStr">
        <is>
          <t>Crank-Nicolson/ADI方法，含权债/可转债精确定价</t>
        </is>
      </c>
      <c r="F113" s="11" t="inlineStr">
        <is>
          <t>p99延迟/误差率/精度验证/压测10k TPS</t>
        </is>
      </c>
      <c r="G113" s="29" t="inlineStr">
        <is>
          <t>极高</t>
        </is>
      </c>
      <c r="H113" s="13" t="n">
        <v>60</v>
      </c>
    </row>
    <row r="114" ht="28" customHeight="1">
      <c r="A114" s="11" t="inlineStr">
        <is>
          <t>量化定价引擎</t>
        </is>
      </c>
      <c r="B114" s="10" t="inlineStr">
        <is>
          <t>P2</t>
        </is>
      </c>
      <c r="C114" s="10" t="inlineStr">
        <is>
          <t>F09-04</t>
        </is>
      </c>
      <c r="D114" s="28" t="inlineStr">
        <is>
          <t>实时Greeks</t>
        </is>
      </c>
      <c r="E114" s="11" t="inlineStr">
        <is>
          <t>Delta/Gamma/Vega/Theta/Rho分布式实时计算</t>
        </is>
      </c>
      <c r="F114" s="11" t="inlineStr">
        <is>
          <t>功能完整/边界测试/集成冒烟/性能基线</t>
        </is>
      </c>
      <c r="G114" s="24" t="inlineStr">
        <is>
          <t>高</t>
        </is>
      </c>
      <c r="H114" s="13" t="n">
        <v>40</v>
      </c>
    </row>
    <row r="115" ht="28" customHeight="1">
      <c r="A115" s="11" t="inlineStr">
        <is>
          <t>量化定价引擎</t>
        </is>
      </c>
      <c r="B115" s="10" t="inlineStr">
        <is>
          <t>P2</t>
        </is>
      </c>
      <c r="C115" s="10" t="inlineStr">
        <is>
          <t>F09-05</t>
        </is>
      </c>
      <c r="D115" s="28" t="inlineStr">
        <is>
          <t>定价服务微服务架构</t>
        </is>
      </c>
      <c r="E115" s="11" t="inlineStr">
        <is>
          <t>REST/gRPC定价API，支持横向扩展，p99&lt;100ms</t>
        </is>
      </c>
      <c r="F115" s="11" t="inlineStr">
        <is>
          <t>功能完整/边界测试/集成冒烟/性能基线</t>
        </is>
      </c>
      <c r="G115" s="24" t="inlineStr">
        <is>
          <t>高</t>
        </is>
      </c>
      <c r="H115" s="13" t="n">
        <v>40</v>
      </c>
    </row>
    <row r="116" ht="28" customHeight="1">
      <c r="A116" s="11" t="inlineStr">
        <is>
          <t>量化定价引擎</t>
        </is>
      </c>
      <c r="B116" s="10" t="inlineStr">
        <is>
          <t>P2</t>
        </is>
      </c>
      <c r="C116" s="10" t="inlineStr">
        <is>
          <t>F09-06</t>
        </is>
      </c>
      <c r="D116" s="28" t="inlineStr">
        <is>
          <t>历史估值回测</t>
        </is>
      </c>
      <c r="E116" s="11" t="inlineStr">
        <is>
          <t>基于历史行情重放定价误差分析，模型验证框架</t>
        </is>
      </c>
      <c r="F116" s="11" t="inlineStr">
        <is>
          <t>功能完整/边界测试/集成冒烟/性能基线</t>
        </is>
      </c>
      <c r="G116" s="24" t="inlineStr">
        <is>
          <t>高</t>
        </is>
      </c>
      <c r="H116" s="13" t="n">
        <v>30</v>
      </c>
    </row>
    <row r="117" ht="20" customHeight="1">
      <c r="A117" s="27" t="inlineStr">
        <is>
          <t>【P2】 利率衍生品  (Interest Rate Derivatives)</t>
        </is>
      </c>
    </row>
    <row r="118" ht="28" customHeight="1">
      <c r="A118" s="11" t="inlineStr">
        <is>
          <t>利率衍生品</t>
        </is>
      </c>
      <c r="B118" s="10" t="inlineStr">
        <is>
          <t>P2</t>
        </is>
      </c>
      <c r="C118" s="10" t="inlineStr">
        <is>
          <t>F10-01</t>
        </is>
      </c>
      <c r="D118" s="28" t="inlineStr">
        <is>
          <t>IRS/OIS/CCS定价</t>
        </is>
      </c>
      <c r="E118" s="11" t="inlineStr">
        <is>
          <t>利率互换标准与非标结构定价，折现曲线OIS</t>
        </is>
      </c>
      <c r="F118" s="11" t="inlineStr">
        <is>
          <t>p99延迟/误差率/精度验证/压测10k TPS</t>
        </is>
      </c>
      <c r="G118" s="29" t="inlineStr">
        <is>
          <t>极高</t>
        </is>
      </c>
      <c r="H118" s="13" t="n">
        <v>60</v>
      </c>
    </row>
    <row r="119" ht="28" customHeight="1">
      <c r="A119" s="11" t="inlineStr">
        <is>
          <t>利率衍生品</t>
        </is>
      </c>
      <c r="B119" s="10" t="inlineStr">
        <is>
          <t>P2</t>
        </is>
      </c>
      <c r="C119" s="10" t="inlineStr">
        <is>
          <t>F10-02</t>
        </is>
      </c>
      <c r="D119" s="28" t="inlineStr">
        <is>
          <t>久期/DV01/凸度</t>
        </is>
      </c>
      <c r="E119" s="11" t="inlineStr">
        <is>
          <t>利率衍生品Greeks实时计算，组合对冲比率</t>
        </is>
      </c>
      <c r="F119" s="11" t="inlineStr">
        <is>
          <t>功能完整/边界测试/集成冒烟/性能基线</t>
        </is>
      </c>
      <c r="G119" s="24" t="inlineStr">
        <is>
          <t>高</t>
        </is>
      </c>
      <c r="H119" s="13" t="n">
        <v>30</v>
      </c>
    </row>
    <row r="120" ht="28" customHeight="1">
      <c r="A120" s="11" t="inlineStr">
        <is>
          <t>利率衍生品</t>
        </is>
      </c>
      <c r="B120" s="10" t="inlineStr">
        <is>
          <t>P2</t>
        </is>
      </c>
      <c r="C120" s="10" t="inlineStr">
        <is>
          <t>F10-03</t>
        </is>
      </c>
      <c r="D120" s="28" t="inlineStr">
        <is>
          <t>LCH/上清所CCP接口</t>
        </is>
      </c>
      <c r="E120" s="11" t="inlineStr">
        <is>
          <t>标准化IRS中央清算，保证金（IM/VM）计算</t>
        </is>
      </c>
      <c r="F120" s="11" t="inlineStr">
        <is>
          <t>功能完整/边界测试/集成冒烟/性能基线</t>
        </is>
      </c>
      <c r="G120" s="24" t="inlineStr">
        <is>
          <t>高</t>
        </is>
      </c>
      <c r="H120" s="13" t="n">
        <v>35</v>
      </c>
    </row>
    <row r="121" ht="28" customHeight="1">
      <c r="A121" s="11" t="inlineStr">
        <is>
          <t>利率衍生品</t>
        </is>
      </c>
      <c r="B121" s="10" t="inlineStr">
        <is>
          <t>P2</t>
        </is>
      </c>
      <c r="C121" s="10" t="inlineStr">
        <is>
          <t>F10-04</t>
        </is>
      </c>
      <c r="D121" s="28" t="inlineStr">
        <is>
          <t>压力测试/情景分析</t>
        </is>
      </c>
      <c r="E121" s="11" t="inlineStr">
        <is>
          <t>利率曲线平移/扭转/蝶式情景，组合P&amp;L影响</t>
        </is>
      </c>
      <c r="F121" s="11" t="inlineStr">
        <is>
          <t>功能完整/边界测试/集成冒烟/性能基线</t>
        </is>
      </c>
      <c r="G121" s="24" t="inlineStr">
        <is>
          <t>高</t>
        </is>
      </c>
      <c r="H121" s="13" t="n">
        <v>30</v>
      </c>
    </row>
    <row r="122" ht="28" customHeight="1">
      <c r="A122" s="11" t="inlineStr">
        <is>
          <t>利率衍生品</t>
        </is>
      </c>
      <c r="B122" s="10" t="inlineStr">
        <is>
          <t>P2</t>
        </is>
      </c>
      <c r="C122" s="10" t="inlineStr">
        <is>
          <t>F10-05</t>
        </is>
      </c>
      <c r="D122" s="28" t="inlineStr">
        <is>
          <t>利率曲线发布</t>
        </is>
      </c>
      <c r="E122" s="11" t="inlineStr">
        <is>
          <t>多曲线框架（OIS/中债曲线）实时发布</t>
        </is>
      </c>
      <c r="F122" s="11" t="inlineStr">
        <is>
          <t>功能完整/边界测试/集成冒烟/性能基线</t>
        </is>
      </c>
      <c r="G122" s="24" t="inlineStr">
        <is>
          <t>高</t>
        </is>
      </c>
      <c r="H122" s="13" t="n">
        <v>30</v>
      </c>
    </row>
    <row r="123" ht="20" customHeight="1">
      <c r="A123" s="27" t="inlineStr">
        <is>
          <t>【P2】 信用债/信用衍生品  (Credit &amp; CDS)</t>
        </is>
      </c>
    </row>
    <row r="124" ht="28" customHeight="1">
      <c r="A124" s="11" t="inlineStr">
        <is>
          <t>信用债/信用衍生品</t>
        </is>
      </c>
      <c r="B124" s="10" t="inlineStr">
        <is>
          <t>P2</t>
        </is>
      </c>
      <c r="C124" s="10" t="inlineStr">
        <is>
          <t>F11-01</t>
        </is>
      </c>
      <c r="D124" s="28" t="inlineStr">
        <is>
          <t>信用利差分析</t>
        </is>
      </c>
      <c r="E124" s="11" t="inlineStr">
        <is>
          <t>行业/评级/期限信用利差曲线实时计算，历史分位数分析</t>
        </is>
      </c>
      <c r="F124" s="11" t="inlineStr">
        <is>
          <t>功能完整/边界测试/集成冒烟/性能基线</t>
        </is>
      </c>
      <c r="G124" s="24" t="inlineStr">
        <is>
          <t>高</t>
        </is>
      </c>
      <c r="H124" s="13" t="n">
        <v>30</v>
      </c>
    </row>
    <row r="125" ht="28" customHeight="1">
      <c r="A125" s="11" t="inlineStr">
        <is>
          <t>信用债/信用衍生品</t>
        </is>
      </c>
      <c r="B125" s="10" t="inlineStr">
        <is>
          <t>P2</t>
        </is>
      </c>
      <c r="C125" s="10" t="inlineStr">
        <is>
          <t>F11-02</t>
        </is>
      </c>
      <c r="D125" s="28" t="inlineStr">
        <is>
          <t>CDS/CLN定价</t>
        </is>
      </c>
      <c r="E125" s="11" t="inlineStr">
        <is>
          <t>信用违约互换定价，ISDA标准，生存概率曲线校准</t>
        </is>
      </c>
      <c r="F125" s="11" t="inlineStr">
        <is>
          <t>p99延迟/误差率/精度验证/压测10k TPS</t>
        </is>
      </c>
      <c r="G125" s="29" t="inlineStr">
        <is>
          <t>极高</t>
        </is>
      </c>
      <c r="H125" s="13" t="n">
        <v>50</v>
      </c>
    </row>
    <row r="126" ht="28" customHeight="1">
      <c r="A126" s="11" t="inlineStr">
        <is>
          <t>信用债/信用衍生品</t>
        </is>
      </c>
      <c r="B126" s="10" t="inlineStr">
        <is>
          <t>P2</t>
        </is>
      </c>
      <c r="C126" s="10" t="inlineStr">
        <is>
          <t>F11-03</t>
        </is>
      </c>
      <c r="D126" s="28" t="inlineStr">
        <is>
          <t>信用评级动态监控</t>
        </is>
      </c>
      <c r="E126" s="11" t="inlineStr">
        <is>
          <t>对接外部评级机构（中诚信/联合/大公），评级下调预警</t>
        </is>
      </c>
      <c r="F126" s="11" t="inlineStr">
        <is>
          <t>功能测试通过/正确率100%</t>
        </is>
      </c>
      <c r="G126" s="25" t="inlineStr">
        <is>
          <t>中</t>
        </is>
      </c>
      <c r="H126" s="13" t="n">
        <v>20</v>
      </c>
    </row>
    <row r="127" ht="28" customHeight="1">
      <c r="A127" s="11" t="inlineStr">
        <is>
          <t>信用债/信用衍生品</t>
        </is>
      </c>
      <c r="B127" s="10" t="inlineStr">
        <is>
          <t>P2</t>
        </is>
      </c>
      <c r="C127" s="10" t="inlineStr">
        <is>
          <t>F11-04</t>
        </is>
      </c>
      <c r="D127" s="28" t="inlineStr">
        <is>
          <t>违约概率（PD）建模</t>
        </is>
      </c>
      <c r="E127" s="11" t="inlineStr">
        <is>
          <t>结构化Merton模型+市场隐含PD，信用风险计量</t>
        </is>
      </c>
      <c r="F127" s="11" t="inlineStr">
        <is>
          <t>功能完整/边界测试/集成冒烟/性能基线</t>
        </is>
      </c>
      <c r="G127" s="24" t="inlineStr">
        <is>
          <t>高</t>
        </is>
      </c>
      <c r="H127" s="13" t="n">
        <v>40</v>
      </c>
    </row>
    <row r="128" ht="28" customHeight="1">
      <c r="A128" s="11" t="inlineStr">
        <is>
          <t>信用债/信用衍生品</t>
        </is>
      </c>
      <c r="B128" s="10" t="inlineStr">
        <is>
          <t>P2</t>
        </is>
      </c>
      <c r="C128" s="10" t="inlineStr">
        <is>
          <t>F11-05</t>
        </is>
      </c>
      <c r="D128" s="28" t="inlineStr">
        <is>
          <t>集中度限额管理</t>
        </is>
      </c>
      <c r="E128" s="11" t="inlineStr">
        <is>
          <t>行业/发行人/评级集中度多维限额，超限预警</t>
        </is>
      </c>
      <c r="F128" s="11" t="inlineStr">
        <is>
          <t>功能测试通过/正确率100%</t>
        </is>
      </c>
      <c r="G128" s="25" t="inlineStr">
        <is>
          <t>中</t>
        </is>
      </c>
      <c r="H128" s="13" t="n">
        <v>20</v>
      </c>
    </row>
    <row r="129" ht="20" customHeight="1">
      <c r="A129" s="27" t="inlineStr">
        <is>
          <t>【P2】 数据管理/行情平台  (Market Data Platform)</t>
        </is>
      </c>
    </row>
    <row r="130" ht="28" customHeight="1">
      <c r="A130" s="11" t="inlineStr">
        <is>
          <t>数据管理/行情平台</t>
        </is>
      </c>
      <c r="B130" s="10" t="inlineStr">
        <is>
          <t>P2</t>
        </is>
      </c>
      <c r="C130" s="10" t="inlineStr">
        <is>
          <t>F12-01</t>
        </is>
      </c>
      <c r="D130" s="28" t="inlineStr">
        <is>
          <t>多源行情聚合</t>
        </is>
      </c>
      <c r="E130" s="11" t="inlineStr">
        <is>
          <t>Bloomberg/Wind/中汇信/Refinitiv多源融合，冲突解析</t>
        </is>
      </c>
      <c r="F130" s="11" t="inlineStr">
        <is>
          <t>功能完整/边界测试/集成冒烟/性能基线</t>
        </is>
      </c>
      <c r="G130" s="24" t="inlineStr">
        <is>
          <t>高</t>
        </is>
      </c>
      <c r="H130" s="13" t="n">
        <v>25</v>
      </c>
    </row>
    <row r="131" ht="28" customHeight="1">
      <c r="A131" s="11" t="inlineStr">
        <is>
          <t>数据管理/行情平台</t>
        </is>
      </c>
      <c r="B131" s="10" t="inlineStr">
        <is>
          <t>P2</t>
        </is>
      </c>
      <c r="C131" s="10" t="inlineStr">
        <is>
          <t>F12-02</t>
        </is>
      </c>
      <c r="D131" s="28" t="inlineStr">
        <is>
          <t>数据质量校验</t>
        </is>
      </c>
      <c r="E131" s="11" t="inlineStr">
        <is>
          <t>异常值/缺失值/跳价自动检测，修复建议与人工审核</t>
        </is>
      </c>
      <c r="F131" s="11" t="inlineStr">
        <is>
          <t>功能测试通过/正确率100%</t>
        </is>
      </c>
      <c r="G131" s="25" t="inlineStr">
        <is>
          <t>中</t>
        </is>
      </c>
      <c r="H131" s="13" t="n">
        <v>15</v>
      </c>
    </row>
    <row r="132" ht="28" customHeight="1">
      <c r="A132" s="11" t="inlineStr">
        <is>
          <t>数据管理/行情平台</t>
        </is>
      </c>
      <c r="B132" s="10" t="inlineStr">
        <is>
          <t>P2</t>
        </is>
      </c>
      <c r="C132" s="10" t="inlineStr">
        <is>
          <t>F12-03</t>
        </is>
      </c>
      <c r="D132" s="28" t="inlineStr">
        <is>
          <t>历史数据仓库</t>
        </is>
      </c>
      <c r="E132" s="11" t="inlineStr">
        <is>
          <t>Tick/日频历史行情存储，高效查询（ClickHouse/TimescaleDB）</t>
        </is>
      </c>
      <c r="F132" s="11" t="inlineStr">
        <is>
          <t>功能完整/边界测试/集成冒烟/性能基线</t>
        </is>
      </c>
      <c r="G132" s="24" t="inlineStr">
        <is>
          <t>高</t>
        </is>
      </c>
      <c r="H132" s="13" t="n">
        <v>25</v>
      </c>
    </row>
    <row r="133" ht="28" customHeight="1">
      <c r="A133" s="11" t="inlineStr">
        <is>
          <t>数据管理/行情平台</t>
        </is>
      </c>
      <c r="B133" s="10" t="inlineStr">
        <is>
          <t>P2</t>
        </is>
      </c>
      <c r="C133" s="10" t="inlineStr">
        <is>
          <t>F12-04</t>
        </is>
      </c>
      <c r="D133" s="28" t="inlineStr">
        <is>
          <t>收益率曲线发布</t>
        </is>
      </c>
      <c r="E133" s="11" t="inlineStr">
        <is>
          <t>国债/政策行/高等级信用曲线实时发布，Kafka广播</t>
        </is>
      </c>
      <c r="F133" s="11" t="inlineStr">
        <is>
          <t>功能完整/边界测试/集成冒烟/性能基线</t>
        </is>
      </c>
      <c r="G133" s="24" t="inlineStr">
        <is>
          <t>高</t>
        </is>
      </c>
      <c r="H133" s="13" t="n">
        <v>20</v>
      </c>
    </row>
    <row r="134" ht="28" customHeight="1">
      <c r="A134" s="11" t="inlineStr">
        <is>
          <t>数据管理/行情平台</t>
        </is>
      </c>
      <c r="B134" s="10" t="inlineStr">
        <is>
          <t>P2</t>
        </is>
      </c>
      <c r="C134" s="10" t="inlineStr">
        <is>
          <t>F12-05</t>
        </is>
      </c>
      <c r="D134" s="28" t="inlineStr">
        <is>
          <t>估值价格服务</t>
        </is>
      </c>
      <c r="E134" s="11" t="inlineStr">
        <is>
          <t>非活跃债券估值价格（中债估值基准），API接口提供</t>
        </is>
      </c>
      <c r="F134" s="11" t="inlineStr">
        <is>
          <t>功能测试通过/正确率100%</t>
        </is>
      </c>
      <c r="G134" s="25" t="inlineStr">
        <is>
          <t>中</t>
        </is>
      </c>
      <c r="H134" s="13" t="n">
        <v>15</v>
      </c>
    </row>
    <row r="135" ht="20" customHeight="1">
      <c r="A135" s="27" t="inlineStr">
        <is>
          <t>【P2】 交易对手管理  (Counterparty Management)</t>
        </is>
      </c>
    </row>
    <row r="136" ht="28" customHeight="1">
      <c r="A136" s="11" t="inlineStr">
        <is>
          <t>交易对手管理</t>
        </is>
      </c>
      <c r="B136" s="10" t="inlineStr">
        <is>
          <t>P2</t>
        </is>
      </c>
      <c r="C136" s="10" t="inlineStr">
        <is>
          <t>F13-01</t>
        </is>
      </c>
      <c r="D136" s="28" t="inlineStr">
        <is>
          <t>对手方评级与审批</t>
        </is>
      </c>
      <c r="E136" s="11" t="inlineStr">
        <is>
          <t>内部信用评级模型，新增/变更交易对手审批流</t>
        </is>
      </c>
      <c r="F136" s="11" t="inlineStr">
        <is>
          <t>功能测试通过/正确率100%</t>
        </is>
      </c>
      <c r="G136" s="25" t="inlineStr">
        <is>
          <t>中</t>
        </is>
      </c>
      <c r="H136" s="13" t="n">
        <v>20</v>
      </c>
    </row>
    <row r="137" ht="28" customHeight="1">
      <c r="A137" s="11" t="inlineStr">
        <is>
          <t>交易对手管理</t>
        </is>
      </c>
      <c r="B137" s="10" t="inlineStr">
        <is>
          <t>P2</t>
        </is>
      </c>
      <c r="C137" s="10" t="inlineStr">
        <is>
          <t>F13-02</t>
        </is>
      </c>
      <c r="D137" s="28" t="inlineStr">
        <is>
          <t>实时敞口聚合</t>
        </is>
      </c>
      <c r="E137" s="11" t="inlineStr">
        <is>
          <t>跨产品交易对手名义/MtM敞口实时聚合，压力敞口（EPE）</t>
        </is>
      </c>
      <c r="F137" s="11" t="inlineStr">
        <is>
          <t>功能完整/边界测试/集成冒烟/性能基线</t>
        </is>
      </c>
      <c r="G137" s="24" t="inlineStr">
        <is>
          <t>高</t>
        </is>
      </c>
      <c r="H137" s="13" t="n">
        <v>35</v>
      </c>
    </row>
    <row r="138" ht="28" customHeight="1">
      <c r="A138" s="11" t="inlineStr">
        <is>
          <t>交易对手管理</t>
        </is>
      </c>
      <c r="B138" s="10" t="inlineStr">
        <is>
          <t>P2</t>
        </is>
      </c>
      <c r="C138" s="10" t="inlineStr">
        <is>
          <t>F13-03</t>
        </is>
      </c>
      <c r="D138" s="28" t="inlineStr">
        <is>
          <t>ISDA/CSA协议管理</t>
        </is>
      </c>
      <c r="E138" s="11" t="inlineStr">
        <is>
          <t>主协议文档管理，净额结算协议（Netting Set）配置</t>
        </is>
      </c>
      <c r="F138" s="11" t="inlineStr">
        <is>
          <t>功能完整/边界测试/集成冒烟/性能基线</t>
        </is>
      </c>
      <c r="G138" s="24" t="inlineStr">
        <is>
          <t>高</t>
        </is>
      </c>
      <c r="H138" s="13" t="n">
        <v>25</v>
      </c>
    </row>
    <row r="139" ht="28" customHeight="1">
      <c r="A139" s="11" t="inlineStr">
        <is>
          <t>交易对手管理</t>
        </is>
      </c>
      <c r="B139" s="10" t="inlineStr">
        <is>
          <t>P2</t>
        </is>
      </c>
      <c r="C139" s="10" t="inlineStr">
        <is>
          <t>F13-04</t>
        </is>
      </c>
      <c r="D139" s="28" t="inlineStr">
        <is>
          <t>CVA/DVA/FVA计算</t>
        </is>
      </c>
      <c r="E139" s="11" t="inlineStr">
        <is>
          <t>信用/债务/资金估值调整实时估算，敞口报告</t>
        </is>
      </c>
      <c r="F139" s="11" t="inlineStr">
        <is>
          <t>p99延迟/误差率/精度验证/压测10k TPS</t>
        </is>
      </c>
      <c r="G139" s="29" t="inlineStr">
        <is>
          <t>极高</t>
        </is>
      </c>
      <c r="H139" s="13" t="n">
        <v>40</v>
      </c>
    </row>
    <row r="140" ht="28" customHeight="1">
      <c r="A140" s="11" t="inlineStr">
        <is>
          <t>交易对手管理</t>
        </is>
      </c>
      <c r="B140" s="10" t="inlineStr">
        <is>
          <t>P2</t>
        </is>
      </c>
      <c r="C140" s="10" t="inlineStr">
        <is>
          <t>F13-05</t>
        </is>
      </c>
      <c r="D140" s="28" t="inlineStr">
        <is>
          <t>集中度与限额</t>
        </is>
      </c>
      <c r="E140" s="11" t="inlineStr">
        <is>
          <t>对手方/集团合并敞口限额，超限审批与记录</t>
        </is>
      </c>
      <c r="F140" s="11" t="inlineStr">
        <is>
          <t>功能测试通过/正确率100%</t>
        </is>
      </c>
      <c r="G140" s="25" t="inlineStr">
        <is>
          <t>中</t>
        </is>
      </c>
      <c r="H140" s="13" t="n">
        <v>15</v>
      </c>
    </row>
    <row r="141" ht="20" customHeight="1">
      <c r="A141" s="27" t="inlineStr">
        <is>
          <t>【P2】 清算结算后台  (Clearing &amp; Settlement)</t>
        </is>
      </c>
    </row>
    <row r="142" ht="28" customHeight="1">
      <c r="A142" s="11" t="inlineStr">
        <is>
          <t>清算结算后台</t>
        </is>
      </c>
      <c r="B142" s="10" t="inlineStr">
        <is>
          <t>P2</t>
        </is>
      </c>
      <c r="C142" s="10" t="inlineStr">
        <is>
          <t>F14-01</t>
        </is>
      </c>
      <c r="D142" s="28" t="inlineStr">
        <is>
          <t>DVP/FOP指令生成</t>
        </is>
      </c>
      <c r="E142" s="11" t="inlineStr">
        <is>
          <t>成交后自动生成交割指令，批量/单笔支持</t>
        </is>
      </c>
      <c r="F142" s="11" t="inlineStr">
        <is>
          <t>功能完整/边界测试/集成冒烟/性能基线</t>
        </is>
      </c>
      <c r="G142" s="24" t="inlineStr">
        <is>
          <t>高</t>
        </is>
      </c>
      <c r="H142" s="13" t="n">
        <v>25</v>
      </c>
    </row>
    <row r="143" ht="28" customHeight="1">
      <c r="A143" s="11" t="inlineStr">
        <is>
          <t>清算结算后台</t>
        </is>
      </c>
      <c r="B143" s="10" t="inlineStr">
        <is>
          <t>P2</t>
        </is>
      </c>
      <c r="C143" s="10" t="inlineStr">
        <is>
          <t>F14-02</t>
        </is>
      </c>
      <c r="D143" s="28" t="inlineStr">
        <is>
          <t>中登/中债登接口</t>
        </is>
      </c>
      <c r="E143" s="11" t="inlineStr">
        <is>
          <t>银行间债券（中债登）和交易所债券（中登）接口对接</t>
        </is>
      </c>
      <c r="F143" s="11" t="inlineStr">
        <is>
          <t>p99延迟/误差率/精度验证/压测10k TPS</t>
        </is>
      </c>
      <c r="G143" s="29" t="inlineStr">
        <is>
          <t>极高</t>
        </is>
      </c>
      <c r="H143" s="13" t="n">
        <v>40</v>
      </c>
    </row>
    <row r="144" ht="28" customHeight="1">
      <c r="A144" s="11" t="inlineStr">
        <is>
          <t>清算结算后台</t>
        </is>
      </c>
      <c r="B144" s="10" t="inlineStr">
        <is>
          <t>P2</t>
        </is>
      </c>
      <c r="C144" s="10" t="inlineStr">
        <is>
          <t>F14-03</t>
        </is>
      </c>
      <c r="D144" s="28" t="inlineStr">
        <is>
          <t>待交割明细管理</t>
        </is>
      </c>
      <c r="E144" s="11" t="inlineStr">
        <is>
          <t>T+0/T+1待交割跟踪，提前预警可能失败交割</t>
        </is>
      </c>
      <c r="F144" s="11" t="inlineStr">
        <is>
          <t>功能完整/边界测试/集成冒烟/性能基线</t>
        </is>
      </c>
      <c r="G144" s="24" t="inlineStr">
        <is>
          <t>高</t>
        </is>
      </c>
      <c r="H144" s="13" t="n">
        <v>25</v>
      </c>
    </row>
    <row r="145" ht="28" customHeight="1">
      <c r="A145" s="11" t="inlineStr">
        <is>
          <t>清算结算后台</t>
        </is>
      </c>
      <c r="B145" s="10" t="inlineStr">
        <is>
          <t>P2</t>
        </is>
      </c>
      <c r="C145" s="10" t="inlineStr">
        <is>
          <t>F14-04</t>
        </is>
      </c>
      <c r="D145" s="28" t="inlineStr">
        <is>
          <t>资金调拨确认</t>
        </is>
      </c>
      <c r="E145" s="11" t="inlineStr">
        <is>
          <t>资金划拨指令生成，银行资金头寸确认，轧差净额</t>
        </is>
      </c>
      <c r="F145" s="11" t="inlineStr">
        <is>
          <t>功能完整/边界测试/集成冒烟/性能基线</t>
        </is>
      </c>
      <c r="G145" s="24" t="inlineStr">
        <is>
          <t>高</t>
        </is>
      </c>
      <c r="H145" s="13" t="n">
        <v>25</v>
      </c>
    </row>
    <row r="146" ht="28" customHeight="1">
      <c r="A146" s="11" t="inlineStr">
        <is>
          <t>清算结算后台</t>
        </is>
      </c>
      <c r="B146" s="10" t="inlineStr">
        <is>
          <t>P2</t>
        </is>
      </c>
      <c r="C146" s="10" t="inlineStr">
        <is>
          <t>F14-05</t>
        </is>
      </c>
      <c r="D146" s="28" t="inlineStr">
        <is>
          <t>交割失败处理</t>
        </is>
      </c>
      <c r="E146" s="11" t="inlineStr">
        <is>
          <t>失败交割自动识别，补交割流程，罚息计算</t>
        </is>
      </c>
      <c r="F146" s="11" t="inlineStr">
        <is>
          <t>功能测试通过/正确率100%</t>
        </is>
      </c>
      <c r="G146" s="25" t="inlineStr">
        <is>
          <t>中</t>
        </is>
      </c>
      <c r="H146" s="13" t="n">
        <v>20</v>
      </c>
    </row>
    <row r="147" ht="20" customHeight="1">
      <c r="A147" s="30" t="inlineStr">
        <is>
          <t>【P3】 做市商系统  (Market Making)</t>
        </is>
      </c>
    </row>
    <row r="148" ht="28" customHeight="1">
      <c r="A148" s="17" t="inlineStr">
        <is>
          <t>做市商系统</t>
        </is>
      </c>
      <c r="B148" s="16" t="inlineStr">
        <is>
          <t>P3</t>
        </is>
      </c>
      <c r="C148" s="16" t="inlineStr">
        <is>
          <t>F15-01</t>
        </is>
      </c>
      <c r="D148" s="31" t="inlineStr">
        <is>
          <t>双边报价引擎</t>
        </is>
      </c>
      <c r="E148" s="17" t="inlineStr">
        <is>
          <t>多品种同时双边报价，延迟&lt;5ms，报价宽度动态优化</t>
        </is>
      </c>
      <c r="F148" s="17" t="inlineStr">
        <is>
          <t>p99延迟/误差率/精度验证/压测10k TPS</t>
        </is>
      </c>
      <c r="G148" s="29" t="inlineStr">
        <is>
          <t>极高</t>
        </is>
      </c>
      <c r="H148" s="19" t="n">
        <v>70</v>
      </c>
    </row>
    <row r="149" ht="28" customHeight="1">
      <c r="A149" s="17" t="inlineStr">
        <is>
          <t>做市商系统</t>
        </is>
      </c>
      <c r="B149" s="16" t="inlineStr">
        <is>
          <t>P3</t>
        </is>
      </c>
      <c r="C149" s="16" t="inlineStr">
        <is>
          <t>F15-02</t>
        </is>
      </c>
      <c r="D149" s="31" t="inlineStr">
        <is>
          <t>库存风险实时管理</t>
        </is>
      </c>
      <c r="E149" s="17" t="inlineStr">
        <is>
          <t>做市库存PnL实时监控，Delta对冲自动触发</t>
        </is>
      </c>
      <c r="F149" s="17" t="inlineStr">
        <is>
          <t>p99延迟/误差率/精度验证/压测10k TPS</t>
        </is>
      </c>
      <c r="G149" s="29" t="inlineStr">
        <is>
          <t>极高</t>
        </is>
      </c>
      <c r="H149" s="19" t="n">
        <v>60</v>
      </c>
    </row>
    <row r="150" ht="28" customHeight="1">
      <c r="A150" s="17" t="inlineStr">
        <is>
          <t>做市商系统</t>
        </is>
      </c>
      <c r="B150" s="16" t="inlineStr">
        <is>
          <t>P3</t>
        </is>
      </c>
      <c r="C150" s="16" t="inlineStr">
        <is>
          <t>F15-03</t>
        </is>
      </c>
      <c r="D150" s="31" t="inlineStr">
        <is>
          <t>报价优化算法</t>
        </is>
      </c>
      <c r="E150" s="17" t="inlineStr">
        <is>
          <t>基于市场微结构理论动态调整bid-ask spread</t>
        </is>
      </c>
      <c r="F150" s="17" t="inlineStr">
        <is>
          <t>p99延迟/误差率/精度验证/压测10k TPS</t>
        </is>
      </c>
      <c r="G150" s="29" t="inlineStr">
        <is>
          <t>极高</t>
        </is>
      </c>
      <c r="H150" s="19" t="n">
        <v>50</v>
      </c>
    </row>
    <row r="151" ht="28" customHeight="1">
      <c r="A151" s="17" t="inlineStr">
        <is>
          <t>做市商系统</t>
        </is>
      </c>
      <c r="B151" s="16" t="inlineStr">
        <is>
          <t>P3</t>
        </is>
      </c>
      <c r="C151" s="16" t="inlineStr">
        <is>
          <t>F15-04</t>
        </is>
      </c>
      <c r="D151" s="31" t="inlineStr">
        <is>
          <t>竞争力分析</t>
        </is>
      </c>
      <c r="E151" s="17" t="inlineStr">
        <is>
          <t>与市场最优报价对比，中签率分析，策略调优</t>
        </is>
      </c>
      <c r="F151" s="17" t="inlineStr">
        <is>
          <t>功能完整/边界测试/集成冒烟/性能基线</t>
        </is>
      </c>
      <c r="G151" s="24" t="inlineStr">
        <is>
          <t>高</t>
        </is>
      </c>
      <c r="H151" s="19" t="n">
        <v>25</v>
      </c>
    </row>
    <row r="152" ht="28" customHeight="1">
      <c r="A152" s="17" t="inlineStr">
        <is>
          <t>做市商系统</t>
        </is>
      </c>
      <c r="B152" s="16" t="inlineStr">
        <is>
          <t>P3</t>
        </is>
      </c>
      <c r="C152" s="16" t="inlineStr">
        <is>
          <t>F15-05</t>
        </is>
      </c>
      <c r="D152" s="31" t="inlineStr">
        <is>
          <t>交易对手管理集成</t>
        </is>
      </c>
      <c r="E152" s="17" t="inlineStr">
        <is>
          <t>做市交易对手信用实时检查，额度占用同步更新</t>
        </is>
      </c>
      <c r="F152" s="17" t="inlineStr">
        <is>
          <t>功能测试通过/正确率100%</t>
        </is>
      </c>
      <c r="G152" s="25" t="inlineStr">
        <is>
          <t>中</t>
        </is>
      </c>
      <c r="H152" s="19" t="n">
        <v>20</v>
      </c>
    </row>
    <row r="153" ht="20" customHeight="1">
      <c r="A153" s="30" t="inlineStr">
        <is>
          <t>【P3】 外汇/外汇衍生品  (FX &amp; FX Derivatives)</t>
        </is>
      </c>
    </row>
    <row r="154" ht="28" customHeight="1">
      <c r="A154" s="17" t="inlineStr">
        <is>
          <t>外汇/外汇衍生品</t>
        </is>
      </c>
      <c r="B154" s="16" t="inlineStr">
        <is>
          <t>P3</t>
        </is>
      </c>
      <c r="C154" s="16" t="inlineStr">
        <is>
          <t>F16-01</t>
        </is>
      </c>
      <c r="D154" s="31" t="inlineStr">
        <is>
          <t>即期/远期报价</t>
        </is>
      </c>
      <c r="E154" s="17" t="inlineStr">
        <is>
          <t>USD/CNY等主要货币对即期汇率+远期点数报价</t>
        </is>
      </c>
      <c r="F154" s="17" t="inlineStr">
        <is>
          <t>功能完整/边界测试/集成冒烟/性能基线</t>
        </is>
      </c>
      <c r="G154" s="24" t="inlineStr">
        <is>
          <t>高</t>
        </is>
      </c>
      <c r="H154" s="19" t="n">
        <v>40</v>
      </c>
    </row>
    <row r="155" ht="28" customHeight="1">
      <c r="A155" s="17" t="inlineStr">
        <is>
          <t>外汇/外汇衍生品</t>
        </is>
      </c>
      <c r="B155" s="16" t="inlineStr">
        <is>
          <t>P3</t>
        </is>
      </c>
      <c r="C155" s="16" t="inlineStr">
        <is>
          <t>F16-02</t>
        </is>
      </c>
      <c r="D155" s="31" t="inlineStr">
        <is>
          <t>外汇期权（FXO）</t>
        </is>
      </c>
      <c r="E155" s="17" t="inlineStr">
        <is>
          <t>欧式/美式FXO定价（Garman-Kohlhagen），Greeks</t>
        </is>
      </c>
      <c r="F155" s="17" t="inlineStr">
        <is>
          <t>p99延迟/误差率/精度验证/压测10k TPS</t>
        </is>
      </c>
      <c r="G155" s="29" t="inlineStr">
        <is>
          <t>极高</t>
        </is>
      </c>
      <c r="H155" s="19" t="n">
        <v>60</v>
      </c>
    </row>
    <row r="156" ht="28" customHeight="1">
      <c r="A156" s="17" t="inlineStr">
        <is>
          <t>外汇/外汇衍生品</t>
        </is>
      </c>
      <c r="B156" s="16" t="inlineStr">
        <is>
          <t>P3</t>
        </is>
      </c>
      <c r="C156" s="16" t="inlineStr">
        <is>
          <t>F16-03</t>
        </is>
      </c>
      <c r="D156" s="31" t="inlineStr">
        <is>
          <t>NDF/NDO定价</t>
        </is>
      </c>
      <c r="E156" s="17" t="inlineStr">
        <is>
          <t>不可交割远期/期权定价，境外对手对接</t>
        </is>
      </c>
      <c r="F156" s="17" t="inlineStr">
        <is>
          <t>p99延迟/误差率/精度验证/压测10k TPS</t>
        </is>
      </c>
      <c r="G156" s="29" t="inlineStr">
        <is>
          <t>极高</t>
        </is>
      </c>
      <c r="H156" s="19" t="n">
        <v>50</v>
      </c>
    </row>
    <row r="157" ht="28" customHeight="1">
      <c r="A157" s="17" t="inlineStr">
        <is>
          <t>外汇/外汇衍生品</t>
        </is>
      </c>
      <c r="B157" s="16" t="inlineStr">
        <is>
          <t>P3</t>
        </is>
      </c>
      <c r="C157" s="16" t="inlineStr">
        <is>
          <t>F16-04</t>
        </is>
      </c>
      <c r="D157" s="31" t="inlineStr">
        <is>
          <t>跨货币敞口汇总</t>
        </is>
      </c>
      <c r="E157" s="17" t="inlineStr">
        <is>
          <t>多币种资产折算人民币敞口，汇率风险VaR</t>
        </is>
      </c>
      <c r="F157" s="17" t="inlineStr">
        <is>
          <t>功能完整/边界测试/集成冒烟/性能基线</t>
        </is>
      </c>
      <c r="G157" s="24" t="inlineStr">
        <is>
          <t>高</t>
        </is>
      </c>
      <c r="H157" s="19" t="n">
        <v>30</v>
      </c>
    </row>
    <row r="158" ht="28" customHeight="1">
      <c r="A158" s="17" t="inlineStr">
        <is>
          <t>外汇/外汇衍生品</t>
        </is>
      </c>
      <c r="B158" s="16" t="inlineStr">
        <is>
          <t>P3</t>
        </is>
      </c>
      <c r="C158" s="16" t="inlineStr">
        <is>
          <t>F16-05</t>
        </is>
      </c>
      <c r="D158" s="31" t="inlineStr">
        <is>
          <t>CFETS/外汇局接口</t>
        </is>
      </c>
      <c r="E158" s="17" t="inlineStr">
        <is>
          <t>银行间外汇市场CFETS接口，外汇局合规报送</t>
        </is>
      </c>
      <c r="F158" s="17" t="inlineStr">
        <is>
          <t>功能完整/边界测试/集成冒烟/性能基线</t>
        </is>
      </c>
      <c r="G158" s="24" t="inlineStr">
        <is>
          <t>高</t>
        </is>
      </c>
      <c r="H158" s="19" t="n">
        <v>35</v>
      </c>
    </row>
    <row r="159">
      <c r="A159" s="20" t="inlineStr">
        <is>
          <t>总计功能数 / Total Function Points</t>
        </is>
      </c>
      <c r="H159" s="21">
        <f>SUM(H3:H158)</f>
        <v/>
      </c>
    </row>
  </sheetData>
  <mergeCells count="18">
    <mergeCell ref="A67:H67"/>
    <mergeCell ref="A80:H80"/>
    <mergeCell ref="A3:H3"/>
    <mergeCell ref="A153:H153"/>
    <mergeCell ref="A159:G159"/>
    <mergeCell ref="A86:H86"/>
    <mergeCell ref="A147:H147"/>
    <mergeCell ref="A129:H129"/>
    <mergeCell ref="A104:H104"/>
    <mergeCell ref="A117:H117"/>
    <mergeCell ref="A141:H141"/>
    <mergeCell ref="A60:H60"/>
    <mergeCell ref="A1:H1"/>
    <mergeCell ref="A110:H110"/>
    <mergeCell ref="A123:H123"/>
    <mergeCell ref="A31:H31"/>
    <mergeCell ref="A135:H135"/>
    <mergeCell ref="A74:H7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2" t="inlineStr">
        <is>
          <t>岗位</t>
        </is>
      </c>
      <c r="B2" s="32" t="inlineStr">
        <is>
          <t>职责说明</t>
        </is>
      </c>
      <c r="C2" s="32" t="inlineStr">
        <is>
          <t>Phase 1（M1-M10）
P1模块 — 核心平台建设</t>
        </is>
      </c>
      <c r="F2" s="32" t="inlineStr">
        <is>
          <t>Phase 2（M11-M20）
P2模块 — 能力扩展</t>
        </is>
      </c>
      <c r="I2" s="32" t="inlineStr">
        <is>
          <t>Phase 3（M21-M27）
P3模块 — 战略深水区</t>
        </is>
      </c>
      <c r="L2" s="32" t="inlineStr">
        <is>
          <t>总招募
峰值人力</t>
        </is>
      </c>
    </row>
    <row r="3" ht="20" customHeight="1">
      <c r="C3" s="29" t="inlineStr">
        <is>
          <t>招募(人)</t>
        </is>
      </c>
      <c r="D3" s="29" t="inlineStr">
        <is>
          <t>工期(月)</t>
        </is>
      </c>
      <c r="E3" s="29" t="inlineStr">
        <is>
          <t>人月</t>
        </is>
      </c>
      <c r="F3" s="29" t="inlineStr">
        <is>
          <t>招募(人)</t>
        </is>
      </c>
      <c r="G3" s="29" t="inlineStr">
        <is>
          <t>工期(月)</t>
        </is>
      </c>
      <c r="H3" s="29" t="inlineStr">
        <is>
          <t>人月</t>
        </is>
      </c>
      <c r="I3" s="29" t="inlineStr">
        <is>
          <t>招募(人)</t>
        </is>
      </c>
      <c r="J3" s="29" t="inlineStr">
        <is>
          <t>工期(月)</t>
        </is>
      </c>
      <c r="K3" s="29" t="inlineStr">
        <is>
          <t>人月</t>
        </is>
      </c>
    </row>
    <row r="4" ht="32" customHeight="1">
      <c r="A4" s="28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3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4">
        <f>MAX(C5,F5,I5)</f>
        <v/>
      </c>
    </row>
    <row r="6" ht="32" customHeight="1">
      <c r="A6" s="28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3">
        <f>MAX(C6,F6,I6)</f>
        <v/>
      </c>
    </row>
    <row r="7" ht="32" customHeight="1">
      <c r="A7" s="28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3">
        <f>MAX(C7,F7,I7)</f>
        <v/>
      </c>
    </row>
    <row r="8" ht="32" customHeight="1">
      <c r="A8" s="28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3">
        <f>MAX(C8,F8,I8)</f>
        <v/>
      </c>
    </row>
    <row r="9" ht="32" customHeight="1">
      <c r="A9" s="28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3">
        <f>MAX(C9,F9,I9)</f>
        <v/>
      </c>
    </row>
    <row r="10" ht="32" customHeight="1">
      <c r="A10" s="28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3">
        <f>MAX(C10,F10,I10)</f>
        <v/>
      </c>
    </row>
    <row r="11" ht="32" customHeight="1">
      <c r="A11" s="28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3">
        <f>MAX(C11,F11,I11)</f>
        <v/>
      </c>
    </row>
    <row r="12" ht="32" customHeight="1">
      <c r="A12" s="28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3">
        <f>MAX(C12,F12,I12)</f>
        <v/>
      </c>
    </row>
    <row r="13">
      <c r="A13" s="20" t="inlineStr">
        <is>
          <t>合计 Totals</t>
        </is>
      </c>
      <c r="C13" s="21">
        <f>SUM(C4:C12)</f>
        <v/>
      </c>
      <c r="D13" s="35" t="inlineStr"/>
      <c r="E13" s="35" t="inlineStr"/>
      <c r="F13" s="21">
        <f>SUM(F4:F12)</f>
        <v/>
      </c>
      <c r="G13" s="35" t="inlineStr"/>
      <c r="H13" s="35" t="inlineStr"/>
      <c r="I13" s="21">
        <f>SUM(I4:I12)</f>
        <v/>
      </c>
      <c r="J13" s="35" t="inlineStr"/>
      <c r="K13" s="35" t="inlineStr"/>
      <c r="L13" s="21">
        <f>SUM(L4:L12)</f>
        <v/>
      </c>
    </row>
    <row r="15" ht="40" customHeight="1">
      <c r="A15" s="36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7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6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7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5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7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7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7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10</v>
      </c>
      <c r="I7" s="8" t="n">
        <v>10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7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7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10</v>
      </c>
      <c r="I9" s="8" t="n">
        <v>12</v>
      </c>
      <c r="J9" s="4" t="inlineStr">
        <is>
          <t>高壁垒护城河，未来SaaS化</t>
        </is>
      </c>
    </row>
    <row r="11" ht="52" customHeight="1">
      <c r="A11" s="38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9" t="inlineStr">
        <is>
          <t>系统详情：IBOR投资账薄管理  |  IBOR</t>
        </is>
      </c>
    </row>
    <row r="2" ht="36" customHeight="1">
      <c r="A2" s="40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1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3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2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3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3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3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8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3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1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2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2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8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3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4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2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3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2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4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2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2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8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3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30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2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3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3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5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2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3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3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2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3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3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1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2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2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3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2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2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1" t="inlineStr">
        <is>
          <t>合计 27项功能  |  P1: 24项  |  P2: 3项</t>
        </is>
      </c>
      <c r="H40" s="21">
        <f>SUM(H5:H39)</f>
        <v/>
      </c>
      <c r="I40" s="35" t="inlineStr"/>
      <c r="J40" s="35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9" t="inlineStr">
        <is>
          <t>系统详情：现券交易系统  |  Bond Trading System</t>
        </is>
      </c>
    </row>
    <row r="2" ht="36" customHeight="1">
      <c r="A2" s="40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1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3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2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3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3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8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2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1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2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3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3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8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2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4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3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2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2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3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4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3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3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8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3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30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2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2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3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8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3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5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8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3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8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3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8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3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3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3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3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3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1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8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2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3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8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3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1" t="inlineStr">
        <is>
          <t>合计 28项功能  |  P1: 19项  |  P2: 9项</t>
        </is>
      </c>
      <c r="H41" s="21">
        <f>SUM(H5:H40)</f>
        <v/>
      </c>
      <c r="I41" s="35" t="inlineStr"/>
      <c r="J41" s="35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9" t="inlineStr">
        <is>
          <t>系统详情：组合管理+绩效归因  |  Portfolio Mgmt &amp; Perf</t>
        </is>
      </c>
    </row>
    <row r="2" ht="36" customHeight="1">
      <c r="A2" s="40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1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3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2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2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3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1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2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2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2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4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3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2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4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2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2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8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2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8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2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8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2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30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3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5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8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2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3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2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1" t="inlineStr">
        <is>
          <t>合计 17项功能  |  P1: 13项  |  P2: 4项</t>
        </is>
      </c>
      <c r="H28" s="21">
        <f>SUM(H5:H27)</f>
        <v/>
      </c>
      <c r="I28" s="35" t="inlineStr"/>
      <c r="J28" s="35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2026-04-29T10:56:00Z</dcterms:created>
  <dcterms:modified xmlns:dcterms="http://purl.org/dc/terms/" xmlns:xsi="http://www.w3.org/2001/XMLSchema-instance" xsi:type="dcterms:W3CDTF">2026-04-29T10:56:01Z</dcterms:modified>
</cp:coreProperties>
</file>