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组合管理+绩效归因" sheetId="6" state="visible" r:id="rId6"/>
  </sheets>
  <definedNames>
    <definedName name="_xlnm.Print_Area" localSheetId="0">'差距分析总表'!$A$1:$P$19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银行间+交易所双市场覆盖</t>
        </is>
      </c>
    </row>
    <row r="5" ht="28" customHeight="1">
      <c r="A5" s="3" t="n">
        <v>3</v>
      </c>
      <c r="B5" s="4" t="inlineStr">
        <is>
          <t>回购管理</t>
        </is>
      </c>
      <c r="C5" s="5" t="inlineStr">
        <is>
          <t>Repo Management</t>
        </is>
      </c>
      <c r="D5" s="5" t="inlineStr">
        <is>
          <t>前台交易</t>
        </is>
      </c>
      <c r="E5" s="6" t="inlineStr">
        <is>
          <t>P1</t>
        </is>
      </c>
      <c r="F5" s="3" t="inlineStr">
        <is>
          <t>★★★★★</t>
        </is>
      </c>
      <c r="G5" s="3" t="inlineStr">
        <is>
          <t>★★☆☆☆</t>
        </is>
      </c>
      <c r="H5" s="3" t="inlineStr">
        <is>
          <t>L2</t>
        </is>
      </c>
      <c r="I5" s="3" t="inlineStr">
        <is>
          <t>L4</t>
        </is>
      </c>
      <c r="J5" s="7" t="inlineStr">
        <is>
          <t>中</t>
        </is>
      </c>
      <c r="K5" s="5" t="inlineStr">
        <is>
          <t>恒生/金证</t>
        </is>
      </c>
      <c r="L5" s="5" t="inlineStr">
        <is>
          <t>M9回购管理模块</t>
        </is>
      </c>
      <c r="M5" s="3" t="n">
        <v>5</v>
      </c>
      <c r="N5" s="3" t="n">
        <v>6</v>
      </c>
      <c r="O5" s="8" t="n">
        <v>27</v>
      </c>
      <c r="P5" s="5" t="inlineStr">
        <is>
          <t>资金融通核心，与IBOR强耦合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7" t="inlineStr">
        <is>
          <t>中</t>
        </is>
      </c>
      <c r="K6" s="5" t="inlineStr">
        <is>
          <t>衡泰(垄断)</t>
        </is>
      </c>
      <c r="L6" s="5" t="inlineStr">
        <is>
          <t>ARC风险引擎</t>
        </is>
      </c>
      <c r="M6" s="3" t="n">
        <v>10</v>
      </c>
      <c r="N6" s="3" t="n">
        <v>10</v>
      </c>
      <c r="O6" s="8" t="n">
        <v>80</v>
      </c>
      <c r="P6" s="5" t="inlineStr">
        <is>
          <t>替代衡泰老旧系统，信创切入口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6</v>
      </c>
      <c r="N7" s="3" t="n">
        <v>8</v>
      </c>
      <c r="O7" s="8" t="n">
        <v>42</v>
      </c>
      <c r="P7" s="5" t="inlineStr">
        <is>
          <t>监管驱动，AI差异化，快速商业化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5</v>
      </c>
      <c r="N8" s="3" t="n">
        <v>6</v>
      </c>
      <c r="O8" s="8" t="n">
        <v>28</v>
      </c>
      <c r="P8" s="5" t="inlineStr">
        <is>
          <t>嵌入交易前拦截，合规刚需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</t>
        </is>
      </c>
      <c r="M10" s="3" t="n">
        <v>10</v>
      </c>
      <c r="N10" s="3" t="n">
        <v>12</v>
      </c>
      <c r="O10" s="8" t="n">
        <v>96</v>
      </c>
      <c r="P10" s="5" t="inlineStr">
        <is>
          <t>因子框架+回测引擎，低延迟执行</t>
        </is>
      </c>
    </row>
    <row r="11" ht="28" customHeight="1">
      <c r="A11" s="10" t="n">
        <v>9</v>
      </c>
      <c r="B11" s="11" t="inlineStr">
        <is>
          <t>量化定价引擎</t>
        </is>
      </c>
      <c r="C11" s="11" t="inlineStr">
        <is>
          <t>Quant Pricing Engine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3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4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利率衍生品</t>
        </is>
      </c>
      <c r="C12" s="11" t="inlineStr">
        <is>
          <t>Interest Rate Derivatives</t>
        </is>
      </c>
      <c r="D12" s="11" t="inlineStr">
        <is>
          <t>前台交易</t>
        </is>
      </c>
      <c r="E12" s="12" t="inlineStr">
        <is>
          <t>P2</t>
        </is>
      </c>
      <c r="F12" s="10" t="inlineStr">
        <is>
          <t>★★★★☆</t>
        </is>
      </c>
      <c r="G12" s="10" t="inlineStr">
        <is>
          <t>★★★★☆</t>
        </is>
      </c>
      <c r="H12" s="10" t="inlineStr">
        <is>
          <t>L1</t>
        </is>
      </c>
      <c r="I12" s="10" t="inlineStr">
        <is>
          <t>L3</t>
        </is>
      </c>
      <c r="J12" s="13" t="inlineStr">
        <is>
          <t>大</t>
        </is>
      </c>
      <c r="K12" s="11" t="inlineStr">
        <is>
          <t>Murex/衡泰</t>
        </is>
      </c>
      <c r="L12" s="11" t="inlineStr">
        <is>
          <t>无直接基础</t>
        </is>
      </c>
      <c r="M12" s="10" t="n">
        <v>12</v>
      </c>
      <c r="N12" s="10" t="n">
        <v>12</v>
      </c>
      <c r="O12" s="14" t="n">
        <v>108</v>
      </c>
      <c r="P12" s="11" t="inlineStr">
        <is>
          <t>IRS/OIS/CCS，需专业量化团队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3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4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数据管理/行情平台</t>
        </is>
      </c>
      <c r="C14" s="11" t="inlineStr">
        <is>
          <t>Market Data Platform</t>
        </is>
      </c>
      <c r="D14" s="11" t="inlineStr">
        <is>
          <t>基础数据</t>
        </is>
      </c>
      <c r="E14" s="12" t="inlineStr">
        <is>
          <t>P2</t>
        </is>
      </c>
      <c r="F14" s="10" t="inlineStr">
        <is>
          <t>★★★★☆</t>
        </is>
      </c>
      <c r="G14" s="10" t="inlineStr">
        <is>
          <t>★★★☆☆</t>
        </is>
      </c>
      <c r="H14" s="10" t="inlineStr">
        <is>
          <t>L3</t>
        </is>
      </c>
      <c r="I14" s="10" t="inlineStr">
        <is>
          <t>L4</t>
        </is>
      </c>
      <c r="J14" s="9" t="inlineStr">
        <is>
          <t>小</t>
        </is>
      </c>
      <c r="K14" s="11" t="inlineStr">
        <is>
          <t>Bloomberg/Wind</t>
        </is>
      </c>
      <c r="L14" s="11" t="inlineStr">
        <is>
          <t>AMD行情平台</t>
        </is>
      </c>
      <c r="M14" s="10" t="n">
        <v>4</v>
      </c>
      <c r="N14" s="10" t="n">
        <v>6</v>
      </c>
      <c r="O14" s="14" t="n">
        <v>22</v>
      </c>
      <c r="P14" s="11" t="inlineStr">
        <is>
          <t>多源聚合+估值价格发布，赋能其他模块</t>
        </is>
      </c>
    </row>
    <row r="15" ht="28" customHeight="1">
      <c r="A15" s="10" t="n">
        <v>13</v>
      </c>
      <c r="B15" s="11" t="inlineStr">
        <is>
          <t>交易对手管理</t>
        </is>
      </c>
      <c r="C15" s="11" t="inlineStr">
        <is>
          <t>Counterparty Management</t>
        </is>
      </c>
      <c r="D15" s="11" t="inlineStr">
        <is>
          <t>中台信用</t>
        </is>
      </c>
      <c r="E15" s="12" t="inlineStr">
        <is>
          <t>P2</t>
        </is>
      </c>
      <c r="F15" s="10" t="inlineStr">
        <is>
          <t>★★★★☆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15" t="inlineStr">
        <is>
          <t>中大</t>
        </is>
      </c>
      <c r="K15" s="11" t="inlineStr">
        <is>
          <t>衡泰/专项系统</t>
        </is>
      </c>
      <c r="L15" s="11" t="inlineStr">
        <is>
          <t>ARC信用模块</t>
        </is>
      </c>
      <c r="M15" s="10" t="n">
        <v>8</v>
      </c>
      <c r="N15" s="10" t="n">
        <v>8</v>
      </c>
      <c r="O15" s="14" t="n">
        <v>56</v>
      </c>
      <c r="P15" s="11" t="inlineStr">
        <is>
          <t>ISDA/CSA管理+CVA/DVA计算</t>
        </is>
      </c>
    </row>
    <row r="16" ht="28" customHeight="1">
      <c r="A16" s="10" t="n">
        <v>14</v>
      </c>
      <c r="B16" s="11" t="inlineStr">
        <is>
          <t>清算结算后台</t>
        </is>
      </c>
      <c r="C16" s="11" t="inlineStr">
        <is>
          <t>Clearing &amp; Settlement</t>
        </is>
      </c>
      <c r="D16" s="11" t="inlineStr">
        <is>
          <t>后台运营</t>
        </is>
      </c>
      <c r="E16" s="12" t="inlineStr">
        <is>
          <t>P2</t>
        </is>
      </c>
      <c r="F16" s="10" t="inlineStr">
        <is>
          <t>★★★★☆</t>
        </is>
      </c>
      <c r="G16" s="10" t="inlineStr">
        <is>
          <t>★★★★☆</t>
        </is>
      </c>
      <c r="H16" s="10" t="inlineStr">
        <is>
          <t>L2</t>
        </is>
      </c>
      <c r="I16" s="10" t="inlineStr">
        <is>
          <t>L3</t>
        </is>
      </c>
      <c r="J16" s="7" t="inlineStr">
        <is>
          <t>中</t>
        </is>
      </c>
      <c r="K16" s="11" t="inlineStr">
        <is>
          <t>金证/中台</t>
        </is>
      </c>
      <c r="L16" s="11" t="inlineStr">
        <is>
          <t>ACP清算平台</t>
        </is>
      </c>
      <c r="M16" s="10" t="n">
        <v>7</v>
      </c>
      <c r="N16" s="10" t="n">
        <v>8</v>
      </c>
      <c r="O16" s="14" t="n">
        <v>50</v>
      </c>
      <c r="P16" s="11" t="inlineStr">
        <is>
          <t>DVP/FOP+中登中债登接口</t>
        </is>
      </c>
    </row>
    <row r="17" ht="28" customHeight="1">
      <c r="A17" s="16" t="n">
        <v>15</v>
      </c>
      <c r="B17" s="17" t="inlineStr">
        <is>
          <t>做市商系统</t>
        </is>
      </c>
      <c r="C17" s="17" t="inlineStr">
        <is>
          <t>Market Making</t>
        </is>
      </c>
      <c r="D17" s="17" t="inlineStr">
        <is>
          <t>前台做市</t>
        </is>
      </c>
      <c r="E17" s="18" t="inlineStr">
        <is>
          <t>P3</t>
        </is>
      </c>
      <c r="F17" s="16" t="inlineStr">
        <is>
          <t>★★★☆☆</t>
        </is>
      </c>
      <c r="G17" s="16" t="inlineStr">
        <is>
          <t>★★★★★</t>
        </is>
      </c>
      <c r="H17" s="16" t="inlineStr">
        <is>
          <t>L0</t>
        </is>
      </c>
      <c r="I17" s="16" t="inlineStr">
        <is>
          <t>L2</t>
        </is>
      </c>
      <c r="J17" s="13" t="inlineStr">
        <is>
          <t>大</t>
        </is>
      </c>
      <c r="K17" s="17" t="inlineStr">
        <is>
          <t>Murex/专项</t>
        </is>
      </c>
      <c r="L17" s="17" t="inlineStr">
        <is>
          <t>ATP报价接口</t>
        </is>
      </c>
      <c r="M17" s="16" t="n">
        <v>12</v>
      </c>
      <c r="N17" s="16" t="n">
        <v>12</v>
      </c>
      <c r="O17" s="19" t="n">
        <v>120</v>
      </c>
      <c r="P17" s="17" t="inlineStr">
        <is>
          <t>双边报价引擎，需深度市场经验</t>
        </is>
      </c>
    </row>
    <row r="18" ht="28" customHeight="1">
      <c r="A18" s="16" t="n">
        <v>16</v>
      </c>
      <c r="B18" s="17" t="inlineStr">
        <is>
          <t>外汇/外汇衍生品</t>
        </is>
      </c>
      <c r="C18" s="17" t="inlineStr">
        <is>
          <t>FX &amp; FX Derivatives</t>
        </is>
      </c>
      <c r="D18" s="17" t="inlineStr">
        <is>
          <t>前台交易</t>
        </is>
      </c>
      <c r="E18" s="18" t="inlineStr">
        <is>
          <t>P3</t>
        </is>
      </c>
      <c r="F18" s="16" t="inlineStr">
        <is>
          <t>★★★☆☆</t>
        </is>
      </c>
      <c r="G18" s="16" t="inlineStr">
        <is>
          <t>★★★★★</t>
        </is>
      </c>
      <c r="H18" s="16" t="inlineStr">
        <is>
          <t>L0</t>
        </is>
      </c>
      <c r="I18" s="16" t="inlineStr">
        <is>
          <t>L2</t>
        </is>
      </c>
      <c r="J18" s="13" t="inlineStr">
        <is>
          <t>大</t>
        </is>
      </c>
      <c r="K18" s="17" t="inlineStr">
        <is>
          <t>Murex/Bloomberg</t>
        </is>
      </c>
      <c r="L18" s="17" t="inlineStr">
        <is>
          <t>无</t>
        </is>
      </c>
      <c r="M18" s="16" t="n">
        <v>12</v>
      </c>
      <c r="N18" s="16" t="n">
        <v>10</v>
      </c>
      <c r="O18" s="19" t="n">
        <v>100</v>
      </c>
      <c r="P18" s="17" t="inlineStr">
        <is>
          <t>FX/NDF市场门槛极高，建议Phase 3</t>
        </is>
      </c>
    </row>
    <row r="19">
      <c r="A19" s="20" t="inlineStr">
        <is>
          <t>合计 / Totals</t>
        </is>
      </c>
      <c r="M19" s="21">
        <f>SUM(M3:M18)</f>
        <v/>
      </c>
      <c r="N19" s="21">
        <f>MAX(N3:N18)</f>
        <v/>
      </c>
      <c r="O19" s="21">
        <f>SUM(O3:O18)</f>
        <v/>
      </c>
      <c r="P19" s="22" t="inlineStr">
        <is>
          <t>P1: 8模块(6项快赢+2项核心)  |  P2: 6模块  |  P3: 2模块</t>
        </is>
      </c>
    </row>
  </sheetData>
  <mergeCells count="2">
    <mergeCell ref="A19:L19"/>
    <mergeCell ref="A1:P1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3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4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5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5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5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5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4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4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5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4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5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4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4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4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5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4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5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5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4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5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4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5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5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4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4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5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4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4" t="inlineStr">
        <is>
          <t>高</t>
        </is>
      </c>
      <c r="H30" s="8" t="n">
        <v>30</v>
      </c>
    </row>
    <row r="31" ht="20" customHeight="1">
      <c r="A31" s="23" t="inlineStr">
        <is>
          <t>【P1】 现券交易系统  (Bond Trading)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CFETS/X-Bond两板块报价，支持询价（RFQ）和竞价</t>
        </is>
      </c>
      <c r="F32" s="5" t="inlineStr">
        <is>
          <t>功能完整/边界测试/集成冒烟/性能基线</t>
        </is>
      </c>
      <c r="G32" s="24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</t>
        </is>
      </c>
      <c r="F33" s="5" t="inlineStr">
        <is>
          <t>功能测试通过/正确率100%</t>
        </is>
      </c>
      <c r="G33" s="25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F02-03</t>
        </is>
      </c>
      <c r="D34" s="4" t="inlineStr">
        <is>
          <t>收益率/价格计算</t>
        </is>
      </c>
      <c r="E34" s="5" t="inlineStr">
        <is>
          <t>全品种YTM/价格双向转换，含含权债修正久期计算</t>
        </is>
      </c>
      <c r="F34" s="5" t="inlineStr">
        <is>
          <t>功能测试通过/正确率100%</t>
        </is>
      </c>
      <c r="G34" s="25" t="inlineStr">
        <is>
          <t>中</t>
        </is>
      </c>
      <c r="H34" s="8" t="n">
        <v>15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F02-04</t>
        </is>
      </c>
      <c r="D35" s="4" t="inlineStr">
        <is>
          <t>交易前风险校验</t>
        </is>
      </c>
      <c r="E35" s="5" t="inlineStr">
        <is>
          <t>调用事前风控接口，单笔限额/集中度/利率风险实时拦截</t>
        </is>
      </c>
      <c r="F35" s="5" t="inlineStr">
        <is>
          <t>功能测试通过/正确率100%</t>
        </is>
      </c>
      <c r="G35" s="25" t="inlineStr">
        <is>
          <t>中</t>
        </is>
      </c>
      <c r="H35" s="8" t="n">
        <v>15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F02-05</t>
        </is>
      </c>
      <c r="D36" s="4" t="inlineStr">
        <is>
          <t>交易确认与指令生成</t>
        </is>
      </c>
      <c r="E36" s="5" t="inlineStr">
        <is>
          <t>成交确认后自动生成DVP/FOP清算指令，推送清算结算模块</t>
        </is>
      </c>
      <c r="F36" s="5" t="inlineStr">
        <is>
          <t>功能完整/边界测试/集成冒烟/性能基线</t>
        </is>
      </c>
      <c r="G36" s="24" t="inlineStr">
        <is>
          <t>高</t>
        </is>
      </c>
      <c r="H36" s="8" t="n">
        <v>20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F02-06</t>
        </is>
      </c>
      <c r="D37" s="4" t="inlineStr">
        <is>
          <t>做市/询价接口</t>
        </is>
      </c>
      <c r="E37" s="5" t="inlineStr">
        <is>
          <t>支持双边报价模式，库存自动刷新，与做市商系统预留接口</t>
        </is>
      </c>
      <c r="F37" s="5" t="inlineStr">
        <is>
          <t>功能测试通过/正确率100%</t>
        </is>
      </c>
      <c r="G37" s="25" t="inlineStr">
        <is>
          <t>中</t>
        </is>
      </c>
      <c r="H37" s="8" t="n">
        <v>10</v>
      </c>
    </row>
    <row r="38" ht="20" customHeight="1">
      <c r="A38" s="23" t="inlineStr">
        <is>
          <t>【P1】 回购管理  (Repo Management)</t>
        </is>
      </c>
    </row>
    <row r="39" ht="28" customHeight="1">
      <c r="A39" s="5" t="inlineStr">
        <is>
          <t>回购管理</t>
        </is>
      </c>
      <c r="B39" s="3" t="inlineStr">
        <is>
          <t>P1</t>
        </is>
      </c>
      <c r="C39" s="3" t="inlineStr">
        <is>
          <t>F03-01</t>
        </is>
      </c>
      <c r="D39" s="4" t="inlineStr">
        <is>
          <t>正/逆回购全周期</t>
        </is>
      </c>
      <c r="E39" s="5" t="inlineStr">
        <is>
          <t>协议回购（GC/质押式）发起、续做、到期，双方确认闭环</t>
        </is>
      </c>
      <c r="F39" s="5" t="inlineStr">
        <is>
          <t>功能完整/边界测试/集成冒烟/性能基线</t>
        </is>
      </c>
      <c r="G39" s="24" t="inlineStr">
        <is>
          <t>高</t>
        </is>
      </c>
      <c r="H39" s="8" t="n">
        <v>30</v>
      </c>
    </row>
    <row r="40" ht="28" customHeight="1">
      <c r="A40" s="5" t="inlineStr">
        <is>
          <t>回购管理</t>
        </is>
      </c>
      <c r="B40" s="3" t="inlineStr">
        <is>
          <t>P1</t>
        </is>
      </c>
      <c r="C40" s="3" t="inlineStr">
        <is>
          <t>F03-02</t>
        </is>
      </c>
      <c r="D40" s="4" t="inlineStr">
        <is>
          <t>质押品篮子管理</t>
        </is>
      </c>
      <c r="E40" s="5" t="inlineStr">
        <is>
          <t>多类质押品估值与折扣率，支持替换与追加保证金（Margin Call）</t>
        </is>
      </c>
      <c r="F40" s="5" t="inlineStr">
        <is>
          <t>功能完整/边界测试/集成冒烟/性能基线</t>
        </is>
      </c>
      <c r="G40" s="24" t="inlineStr">
        <is>
          <t>高</t>
        </is>
      </c>
      <c r="H40" s="8" t="n">
        <v>25</v>
      </c>
    </row>
    <row r="41" ht="28" customHeight="1">
      <c r="A41" s="5" t="inlineStr">
        <is>
          <t>回购管理</t>
        </is>
      </c>
      <c r="B41" s="3" t="inlineStr">
        <is>
          <t>P1</t>
        </is>
      </c>
      <c r="C41" s="3" t="inlineStr">
        <is>
          <t>F03-03</t>
        </is>
      </c>
      <c r="D41" s="4" t="inlineStr">
        <is>
          <t>资金头寸监控</t>
        </is>
      </c>
      <c r="E41" s="5" t="inlineStr">
        <is>
          <t>日内融资头寸实时监控，资金缺口预警，与IBOR现金流对接</t>
        </is>
      </c>
      <c r="F41" s="5" t="inlineStr">
        <is>
          <t>功能测试通过/正确率100%</t>
        </is>
      </c>
      <c r="G41" s="25" t="inlineStr">
        <is>
          <t>中</t>
        </is>
      </c>
      <c r="H41" s="8" t="n">
        <v>20</v>
      </c>
    </row>
    <row r="42" ht="28" customHeight="1">
      <c r="A42" s="5" t="inlineStr">
        <is>
          <t>回购管理</t>
        </is>
      </c>
      <c r="B42" s="3" t="inlineStr">
        <is>
          <t>P1</t>
        </is>
      </c>
      <c r="C42" s="3" t="inlineStr">
        <is>
          <t>F03-04</t>
        </is>
      </c>
      <c r="D42" s="4" t="inlineStr">
        <is>
          <t>到期自动提醒</t>
        </is>
      </c>
      <c r="E42" s="5" t="inlineStr">
        <is>
          <t>到期前T-1/T-3提醒，支持批量续作规则配置</t>
        </is>
      </c>
      <c r="F42" s="5" t="inlineStr">
        <is>
          <t>功能测试通过</t>
        </is>
      </c>
      <c r="G42" s="26" t="inlineStr">
        <is>
          <t>低</t>
        </is>
      </c>
      <c r="H42" s="8" t="n">
        <v>10</v>
      </c>
    </row>
    <row r="43" ht="28" customHeight="1">
      <c r="A43" s="5" t="inlineStr">
        <is>
          <t>回购管理</t>
        </is>
      </c>
      <c r="B43" s="3" t="inlineStr">
        <is>
          <t>P1</t>
        </is>
      </c>
      <c r="C43" s="3" t="inlineStr">
        <is>
          <t>F03-05</t>
        </is>
      </c>
      <c r="D43" s="4" t="inlineStr">
        <is>
          <t>CCP/上清所接口</t>
        </is>
      </c>
      <c r="E43" s="5" t="inlineStr">
        <is>
          <t>标准化质押式回购通过上清所CCP清算，接口对接</t>
        </is>
      </c>
      <c r="F43" s="5" t="inlineStr">
        <is>
          <t>功能完整/边界测试/集成冒烟/性能基线</t>
        </is>
      </c>
      <c r="G43" s="24" t="inlineStr">
        <is>
          <t>高</t>
        </is>
      </c>
      <c r="H43" s="8" t="n">
        <v>20</v>
      </c>
    </row>
    <row r="44" ht="20" customHeight="1">
      <c r="A44" s="23" t="inlineStr">
        <is>
          <t>【P1】 FICC风险计量平台  (FICC Risk Measurement)</t>
        </is>
      </c>
    </row>
    <row r="45" ht="28" customHeight="1">
      <c r="A45" s="5" t="inlineStr">
        <is>
          <t>FICC风险计量平台</t>
        </is>
      </c>
      <c r="B45" s="3" t="inlineStr">
        <is>
          <t>P1</t>
        </is>
      </c>
      <c r="C45" s="3" t="inlineStr">
        <is>
          <t>F04-01</t>
        </is>
      </c>
      <c r="D45" s="4" t="inlineStr">
        <is>
          <t>VaR/CVaR/ES计算</t>
        </is>
      </c>
      <c r="E45" s="5" t="inlineStr">
        <is>
          <t>历史模拟法/参数法/蒙特卡洛三模式，置信度99%/99.5%可选</t>
        </is>
      </c>
      <c r="F45" s="5" t="inlineStr">
        <is>
          <t>p99延迟/误差率/精度验证/压测10k TPS</t>
        </is>
      </c>
      <c r="G45" s="27" t="inlineStr">
        <is>
          <t>极高</t>
        </is>
      </c>
      <c r="H45" s="8" t="n">
        <v>60</v>
      </c>
    </row>
    <row r="46" ht="28" customHeight="1">
      <c r="A46" s="5" t="inlineStr">
        <is>
          <t>FICC风险计量平台</t>
        </is>
      </c>
      <c r="B46" s="3" t="inlineStr">
        <is>
          <t>P1</t>
        </is>
      </c>
      <c r="C46" s="3" t="inlineStr">
        <is>
          <t>F04-02</t>
        </is>
      </c>
      <c r="D46" s="4" t="inlineStr">
        <is>
          <t>压力测试情景库</t>
        </is>
      </c>
      <c r="E46" s="5" t="inlineStr">
        <is>
          <t>内置924行情/2015股灾/2020疫情等10+情景，支持自定义</t>
        </is>
      </c>
      <c r="F46" s="5" t="inlineStr">
        <is>
          <t>功能完整/边界测试/集成冒烟/性能基线</t>
        </is>
      </c>
      <c r="G46" s="24" t="inlineStr">
        <is>
          <t>高</t>
        </is>
      </c>
      <c r="H46" s="8" t="n">
        <v>40</v>
      </c>
    </row>
    <row r="47" ht="28" customHeight="1">
      <c r="A47" s="5" t="inlineStr">
        <is>
          <t>FICC风险计量平台</t>
        </is>
      </c>
      <c r="B47" s="3" t="inlineStr">
        <is>
          <t>P1</t>
        </is>
      </c>
      <c r="C47" s="3" t="inlineStr">
        <is>
          <t>F04-03</t>
        </is>
      </c>
      <c r="D47" s="4" t="inlineStr">
        <is>
          <t>限额体系与超限预警</t>
        </is>
      </c>
      <c r="E47" s="5" t="inlineStr">
        <is>
          <t>交易员/策略/产品/公司4级限额，实时穿透预警，告警推送</t>
        </is>
      </c>
      <c r="F47" s="5" t="inlineStr">
        <is>
          <t>功能完整/边界测试/集成冒烟/性能基线</t>
        </is>
      </c>
      <c r="G47" s="24" t="inlineStr">
        <is>
          <t>高</t>
        </is>
      </c>
      <c r="H47" s="8" t="n">
        <v>30</v>
      </c>
    </row>
    <row r="48" ht="28" customHeight="1">
      <c r="A48" s="5" t="inlineStr">
        <is>
          <t>FICC风险计量平台</t>
        </is>
      </c>
      <c r="B48" s="3" t="inlineStr">
        <is>
          <t>P1</t>
        </is>
      </c>
      <c r="C48" s="3" t="inlineStr">
        <is>
          <t>F04-04</t>
        </is>
      </c>
      <c r="D48" s="4" t="inlineStr">
        <is>
          <t>信用风险（CCR）</t>
        </is>
      </c>
      <c r="E48" s="5" t="inlineStr">
        <is>
          <t>交易对手敞口实时聚合，EEPE/PFE/CVA估算</t>
        </is>
      </c>
      <c r="F48" s="5" t="inlineStr">
        <is>
          <t>p99延迟/误差率/精度验证/压测10k TPS</t>
        </is>
      </c>
      <c r="G48" s="27" t="inlineStr">
        <is>
          <t>极高</t>
        </is>
      </c>
      <c r="H48" s="8" t="n">
        <v>50</v>
      </c>
    </row>
    <row r="49" ht="28" customHeight="1">
      <c r="A49" s="5" t="inlineStr">
        <is>
          <t>FICC风险计量平台</t>
        </is>
      </c>
      <c r="B49" s="3" t="inlineStr">
        <is>
          <t>P1</t>
        </is>
      </c>
      <c r="C49" s="3" t="inlineStr">
        <is>
          <t>F04-05</t>
        </is>
      </c>
      <c r="D49" s="4" t="inlineStr">
        <is>
          <t>希腊字母（Greeks）</t>
        </is>
      </c>
      <c r="E49" s="5" t="inlineStr">
        <is>
          <t>Delta/Gamma/Vega/Theta/DV01日内实时计算，覆盖固收+衍生品</t>
        </is>
      </c>
      <c r="F49" s="5" t="inlineStr">
        <is>
          <t>功能完整/边界测试/集成冒烟/性能基线</t>
        </is>
      </c>
      <c r="G49" s="24" t="inlineStr">
        <is>
          <t>高</t>
        </is>
      </c>
      <c r="H49" s="8" t="n">
        <v>35</v>
      </c>
    </row>
    <row r="50" ht="28" customHeight="1">
      <c r="A50" s="5" t="inlineStr">
        <is>
          <t>FICC风险计量平台</t>
        </is>
      </c>
      <c r="B50" s="3" t="inlineStr">
        <is>
          <t>P1</t>
        </is>
      </c>
      <c r="C50" s="3" t="inlineStr">
        <is>
          <t>F04-06</t>
        </is>
      </c>
      <c r="D50" s="4" t="inlineStr">
        <is>
          <t>风险报告自动化</t>
        </is>
      </c>
      <c r="E50" s="5" t="inlineStr">
        <is>
          <t>每日风险报告（Excel/PDF）自动生成，支持监管报送格式</t>
        </is>
      </c>
      <c r="F50" s="5" t="inlineStr">
        <is>
          <t>功能测试通过/正确率100%</t>
        </is>
      </c>
      <c r="G50" s="25" t="inlineStr">
        <is>
          <t>中</t>
        </is>
      </c>
      <c r="H50" s="8" t="n">
        <v>20</v>
      </c>
    </row>
    <row r="51" ht="20" customHeight="1">
      <c r="A51" s="23" t="inlineStr">
        <is>
          <t>【P1】 异常交易风控  (Abnormal Trade Monitor)</t>
        </is>
      </c>
    </row>
    <row r="52" ht="28" customHeight="1">
      <c r="A52" s="5" t="inlineStr">
        <is>
          <t>异常交易风控</t>
        </is>
      </c>
      <c r="B52" s="3" t="inlineStr">
        <is>
          <t>P1</t>
        </is>
      </c>
      <c r="C52" s="3" t="inlineStr">
        <is>
          <t>F05-01</t>
        </is>
      </c>
      <c r="D52" s="4" t="inlineStr">
        <is>
          <t>实时CEP监控引擎</t>
        </is>
      </c>
      <c r="E52" s="5" t="inlineStr">
        <is>
          <t>基于复杂事件处理（CEP），毫秒级事件流检测，滑动窗口聚合</t>
        </is>
      </c>
      <c r="F52" s="5" t="inlineStr">
        <is>
          <t>p99延迟/误差率/精度验证/压测10k TPS</t>
        </is>
      </c>
      <c r="G52" s="27" t="inlineStr">
        <is>
          <t>极高</t>
        </is>
      </c>
      <c r="H52" s="8" t="n">
        <v>50</v>
      </c>
    </row>
    <row r="53" ht="28" customHeight="1">
      <c r="A53" s="5" t="inlineStr">
        <is>
          <t>异常交易风控</t>
        </is>
      </c>
      <c r="B53" s="3" t="inlineStr">
        <is>
          <t>P1</t>
        </is>
      </c>
      <c r="C53" s="3" t="inlineStr">
        <is>
          <t>F05-02</t>
        </is>
      </c>
      <c r="D53" s="4" t="inlineStr">
        <is>
          <t>异常价格检测</t>
        </is>
      </c>
      <c r="E53" s="5" t="inlineStr">
        <is>
          <t>基于历史分位数/实时行情计算价格偏离度，动态阈值自适应</t>
        </is>
      </c>
      <c r="F53" s="5" t="inlineStr">
        <is>
          <t>功能完整/边界测试/集成冒烟/性能基线</t>
        </is>
      </c>
      <c r="G53" s="24" t="inlineStr">
        <is>
          <t>高</t>
        </is>
      </c>
      <c r="H53" s="8" t="n">
        <v>25</v>
      </c>
    </row>
    <row r="54" ht="28" customHeight="1">
      <c r="A54" s="5" t="inlineStr">
        <is>
          <t>异常交易风控</t>
        </is>
      </c>
      <c r="B54" s="3" t="inlineStr">
        <is>
          <t>P1</t>
        </is>
      </c>
      <c r="C54" s="3" t="inlineStr">
        <is>
          <t>F05-03</t>
        </is>
      </c>
      <c r="D54" s="4" t="inlineStr">
        <is>
          <t>AI异常识别模型</t>
        </is>
      </c>
      <c r="E54" s="5" t="inlineStr">
        <is>
          <t>机器学习（XGBoost/LSTM）训练异常交易识别模型，在线推理</t>
        </is>
      </c>
      <c r="F54" s="5" t="inlineStr">
        <is>
          <t>功能完整/边界测试/集成冒烟/性能基线</t>
        </is>
      </c>
      <c r="G54" s="24" t="inlineStr">
        <is>
          <t>高</t>
        </is>
      </c>
      <c r="H54" s="8" t="n">
        <v>40</v>
      </c>
    </row>
    <row r="55" ht="28" customHeight="1">
      <c r="A55" s="5" t="inlineStr">
        <is>
          <t>异常交易风控</t>
        </is>
      </c>
      <c r="B55" s="3" t="inlineStr">
        <is>
          <t>P1</t>
        </is>
      </c>
      <c r="C55" s="3" t="inlineStr">
        <is>
          <t>F05-04</t>
        </is>
      </c>
      <c r="D55" s="4" t="inlineStr">
        <is>
          <t>规则引擎（可配置）</t>
        </is>
      </c>
      <c r="E55" s="5" t="inlineStr">
        <is>
          <t>No-Code规则配置界面，合规人员自助维护检测规则</t>
        </is>
      </c>
      <c r="F55" s="5" t="inlineStr">
        <is>
          <t>功能测试通过/正确率100%</t>
        </is>
      </c>
      <c r="G55" s="25" t="inlineStr">
        <is>
          <t>中</t>
        </is>
      </c>
      <c r="H55" s="8" t="n">
        <v>20</v>
      </c>
    </row>
    <row r="56" ht="28" customHeight="1">
      <c r="A56" s="5" t="inlineStr">
        <is>
          <t>异常交易风控</t>
        </is>
      </c>
      <c r="B56" s="3" t="inlineStr">
        <is>
          <t>P1</t>
        </is>
      </c>
      <c r="C56" s="3" t="inlineStr">
        <is>
          <t>F05-05</t>
        </is>
      </c>
      <c r="D56" s="4" t="inlineStr">
        <is>
          <t>监管报送自动化</t>
        </is>
      </c>
      <c r="E56" s="5" t="inlineStr">
        <is>
          <t>一键生成证监会/人行格式异常交易报告，历史追溯查询</t>
        </is>
      </c>
      <c r="F56" s="5" t="inlineStr">
        <is>
          <t>功能测试通过/正确率100%</t>
        </is>
      </c>
      <c r="G56" s="25" t="inlineStr">
        <is>
          <t>中</t>
        </is>
      </c>
      <c r="H56" s="8" t="n">
        <v>25</v>
      </c>
    </row>
    <row r="57" ht="20" customHeight="1">
      <c r="A57" s="23" t="inlineStr">
        <is>
          <t>【P1】 事前风控/合规  (Pre-trade Risk)</t>
        </is>
      </c>
    </row>
    <row r="58" ht="28" customHeight="1">
      <c r="A58" s="5" t="inlineStr">
        <is>
          <t>事前风控/合规</t>
        </is>
      </c>
      <c r="B58" s="3" t="inlineStr">
        <is>
          <t>P1</t>
        </is>
      </c>
      <c r="C58" s="3" t="inlineStr">
        <is>
          <t>F06-01</t>
        </is>
      </c>
      <c r="D58" s="4" t="inlineStr">
        <is>
          <t>投资策略合规规则库</t>
        </is>
      </c>
      <c r="E58" s="5" t="inlineStr">
        <is>
          <t>内置1000+条监管规则（投资指引/证监会规定），支持新增</t>
        </is>
      </c>
      <c r="F58" s="5" t="inlineStr">
        <is>
          <t>功能完整/边界测试/集成冒烟/性能基线</t>
        </is>
      </c>
      <c r="G58" s="24" t="inlineStr">
        <is>
          <t>高</t>
        </is>
      </c>
      <c r="H58" s="8" t="n">
        <v>30</v>
      </c>
    </row>
    <row r="59" ht="28" customHeight="1">
      <c r="A59" s="5" t="inlineStr">
        <is>
          <t>事前风控/合规</t>
        </is>
      </c>
      <c r="B59" s="3" t="inlineStr">
        <is>
          <t>P1</t>
        </is>
      </c>
      <c r="C59" s="3" t="inlineStr">
        <is>
          <t>F06-02</t>
        </is>
      </c>
      <c r="D59" s="4" t="inlineStr">
        <is>
          <t>实时订单拦截</t>
        </is>
      </c>
      <c r="E59" s="5" t="inlineStr">
        <is>
          <t>在交易指令提交前同步校验，不满足规则则拦截+原因告知</t>
        </is>
      </c>
      <c r="F59" s="5" t="inlineStr">
        <is>
          <t>p99延迟/误差率/精度验证/压测10k TPS</t>
        </is>
      </c>
      <c r="G59" s="27" t="inlineStr">
        <is>
          <t>极高</t>
        </is>
      </c>
      <c r="H59" s="8" t="n">
        <v>25</v>
      </c>
    </row>
    <row r="60" ht="28" customHeight="1">
      <c r="A60" s="5" t="inlineStr">
        <is>
          <t>事前风控/合规</t>
        </is>
      </c>
      <c r="B60" s="3" t="inlineStr">
        <is>
          <t>P1</t>
        </is>
      </c>
      <c r="C60" s="3" t="inlineStr">
        <is>
          <t>F06-03</t>
        </is>
      </c>
      <c r="D60" s="4" t="inlineStr">
        <is>
          <t>限额多维度检查</t>
        </is>
      </c>
      <c r="E60" s="5" t="inlineStr">
        <is>
          <t>单笔名义/资产类别/集中度/净敞口/利率敏感度多维并行检查</t>
        </is>
      </c>
      <c r="F60" s="5" t="inlineStr">
        <is>
          <t>功能完整/边界测试/集成冒烟/性能基线</t>
        </is>
      </c>
      <c r="G60" s="24" t="inlineStr">
        <is>
          <t>高</t>
        </is>
      </c>
      <c r="H60" s="8" t="n">
        <v>25</v>
      </c>
    </row>
    <row r="61" ht="28" customHeight="1">
      <c r="A61" s="5" t="inlineStr">
        <is>
          <t>事前风控/合规</t>
        </is>
      </c>
      <c r="B61" s="3" t="inlineStr">
        <is>
          <t>P1</t>
        </is>
      </c>
      <c r="C61" s="3" t="inlineStr">
        <is>
          <t>F06-04</t>
        </is>
      </c>
      <c r="D61" s="4" t="inlineStr">
        <is>
          <t>合规审批工作流</t>
        </is>
      </c>
      <c r="E61" s="5" t="inlineStr">
        <is>
          <t>超限申请→审批→记录全流程，支持移动端审批</t>
        </is>
      </c>
      <c r="F61" s="5" t="inlineStr">
        <is>
          <t>功能测试通过/正确率100%</t>
        </is>
      </c>
      <c r="G61" s="25" t="inlineStr">
        <is>
          <t>中</t>
        </is>
      </c>
      <c r="H61" s="8" t="n">
        <v>15</v>
      </c>
    </row>
    <row r="62" ht="28" customHeight="1">
      <c r="A62" s="5" t="inlineStr">
        <is>
          <t>事前风控/合规</t>
        </is>
      </c>
      <c r="B62" s="3" t="inlineStr">
        <is>
          <t>P1</t>
        </is>
      </c>
      <c r="C62" s="3" t="inlineStr">
        <is>
          <t>F06-05</t>
        </is>
      </c>
      <c r="D62" s="4" t="inlineStr">
        <is>
          <t>监管白/黑名单</t>
        </is>
      </c>
      <c r="E62" s="5" t="inlineStr">
        <is>
          <t>证券/交易对手监管限制名单实时同步，拦截违规交易</t>
        </is>
      </c>
      <c r="F62" s="5" t="inlineStr">
        <is>
          <t>功能测试通过/正确率100%</t>
        </is>
      </c>
      <c r="G62" s="25" t="inlineStr">
        <is>
          <t>中</t>
        </is>
      </c>
      <c r="H62" s="8" t="n">
        <v>15</v>
      </c>
    </row>
    <row r="63" ht="20" customHeight="1">
      <c r="A63" s="23" t="inlineStr">
        <is>
          <t>【P1】 组合管理+绩效归因  (Portfolio Mgmt &amp; Perf)</t>
        </is>
      </c>
    </row>
    <row r="64" ht="28" customHeight="1">
      <c r="A64" s="5" t="inlineStr">
        <is>
          <t>组合管理+绩效归因</t>
        </is>
      </c>
      <c r="B64" s="3" t="inlineStr">
        <is>
          <t>P1</t>
        </is>
      </c>
      <c r="C64" s="3" t="inlineStr">
        <is>
          <t>F07-01</t>
        </is>
      </c>
      <c r="D64" s="4" t="inlineStr">
        <is>
          <t>债券横截面与时序分析</t>
        </is>
      </c>
      <c r="E64" s="5" t="inlineStr">
        <is>
          <t>跨品种横截面信号挖掘（利差/久期偏差），历史时序趋势与均值回归分析</t>
        </is>
      </c>
      <c r="F64" s="5" t="inlineStr">
        <is>
          <t>横截面信号与实际收益相关性&gt;0.3</t>
        </is>
      </c>
      <c r="G64" s="24" t="inlineStr">
        <is>
          <t>高</t>
        </is>
      </c>
      <c r="H64" s="8" t="n">
        <v>35</v>
      </c>
    </row>
    <row r="65" ht="28" customHeight="1">
      <c r="A65" s="5" t="inlineStr">
        <is>
          <t>组合管理+绩效归因</t>
        </is>
      </c>
      <c r="B65" s="3" t="inlineStr">
        <is>
          <t>P1</t>
        </is>
      </c>
      <c r="C65" s="3" t="inlineStr">
        <is>
          <t>F07-02</t>
        </is>
      </c>
      <c r="D65" s="4" t="inlineStr">
        <is>
          <t>相对价值分析</t>
        </is>
      </c>
      <c r="E65" s="5" t="inlineStr">
        <is>
          <t>利差/Z-spread/OAS相对价值计算，历史分位数定位，跨品种套利信号识别</t>
        </is>
      </c>
      <c r="F65" s="5" t="inlineStr">
        <is>
          <t>OAS计算误差&lt;1bps，分位数覆盖5年历史</t>
        </is>
      </c>
      <c r="G65" s="24" t="inlineStr">
        <is>
          <t>高</t>
        </is>
      </c>
      <c r="H65" s="8" t="n">
        <v>30</v>
      </c>
    </row>
    <row r="66" ht="28" customHeight="1">
      <c r="A66" s="5" t="inlineStr">
        <is>
          <t>组合管理+绩效归因</t>
        </is>
      </c>
      <c r="B66" s="3" t="inlineStr">
        <is>
          <t>P1</t>
        </is>
      </c>
      <c r="C66" s="3" t="inlineStr">
        <is>
          <t>F07-03</t>
        </is>
      </c>
      <c r="D66" s="4" t="inlineStr">
        <is>
          <t>组合相关度分析</t>
        </is>
      </c>
      <c r="E66" s="5" t="inlineStr">
        <is>
          <t>资产间收益相关矩阵计算（滚动60/120/250日），组合集中度风险识别，分散化系数监控</t>
        </is>
      </c>
      <c r="F66" s="5" t="inlineStr">
        <is>
          <t>相关矩阵计算&lt;30s（500券组合）</t>
        </is>
      </c>
      <c r="G66" s="25" t="inlineStr">
        <is>
          <t>中</t>
        </is>
      </c>
      <c r="H66" s="8" t="n">
        <v>25</v>
      </c>
    </row>
    <row r="67" ht="28" customHeight="1">
      <c r="A67" s="5" t="inlineStr">
        <is>
          <t>组合管理+绩效归因</t>
        </is>
      </c>
      <c r="B67" s="3" t="inlineStr">
        <is>
          <t>P1</t>
        </is>
      </c>
      <c r="C67" s="3" t="inlineStr">
        <is>
          <t>F07-04</t>
        </is>
      </c>
      <c r="D67" s="4" t="inlineStr">
        <is>
          <t>情景分析</t>
        </is>
      </c>
      <c r="E67" s="5" t="inlineStr">
        <is>
          <t>利率/信用/流动性三类自定义情景，组合P&amp;L影响量化，多情景并行对比</t>
        </is>
      </c>
      <c r="F67" s="5" t="inlineStr">
        <is>
          <t>情景P&amp;L与手工核算误差&lt;0.5%，支持≥20情景并行</t>
        </is>
      </c>
      <c r="G67" s="24" t="inlineStr">
        <is>
          <t>高</t>
        </is>
      </c>
      <c r="H67" s="8" t="n">
        <v>35</v>
      </c>
    </row>
    <row r="68" ht="28" customHeight="1">
      <c r="A68" s="5" t="inlineStr">
        <is>
          <t>组合管理+绩效归因</t>
        </is>
      </c>
      <c r="B68" s="3" t="inlineStr">
        <is>
          <t>P1</t>
        </is>
      </c>
      <c r="C68" s="3" t="inlineStr">
        <is>
          <t>F07-05</t>
        </is>
      </c>
      <c r="D68" s="4" t="inlineStr">
        <is>
          <t>敏感度分析</t>
        </is>
      </c>
      <c r="E68" s="5" t="inlineStr">
        <is>
          <t>久期/DV01/凸度/利差/Vega敏感度多因子并行计算，组合对冲比率建议</t>
        </is>
      </c>
      <c r="F68" s="5" t="inlineStr">
        <is>
          <t>DV01与Bloomberg基准误差&lt;0.5bps</t>
        </is>
      </c>
      <c r="G68" s="24" t="inlineStr">
        <is>
          <t>高</t>
        </is>
      </c>
      <c r="H68" s="8" t="n">
        <v>25</v>
      </c>
    </row>
    <row r="69" ht="28" customHeight="1">
      <c r="A69" s="5" t="inlineStr">
        <is>
          <t>组合管理+绩效归因</t>
        </is>
      </c>
      <c r="B69" s="3" t="inlineStr">
        <is>
          <t>P1</t>
        </is>
      </c>
      <c r="C69" s="3" t="inlineStr">
        <is>
          <t>F07-06</t>
        </is>
      </c>
      <c r="D69" s="4" t="inlineStr">
        <is>
          <t>极端事件分析</t>
        </is>
      </c>
      <c r="E69" s="5" t="inlineStr">
        <is>
          <t>历史极端情景（924行情/2015股灾/2020疫情等8+情景），组合尾部损失分布，ES(99%)计算</t>
        </is>
      </c>
      <c r="F69" s="5" t="inlineStr">
        <is>
          <t>历史情景复现误差&lt;1%</t>
        </is>
      </c>
      <c r="G69" s="24" t="inlineStr">
        <is>
          <t>高</t>
        </is>
      </c>
      <c r="H69" s="8" t="n">
        <v>30</v>
      </c>
    </row>
    <row r="70" ht="28" customHeight="1">
      <c r="A70" s="5" t="inlineStr">
        <is>
          <t>组合管理+绩效归因</t>
        </is>
      </c>
      <c r="B70" s="3" t="inlineStr">
        <is>
          <t>P1</t>
        </is>
      </c>
      <c r="C70" s="3" t="inlineStr">
        <is>
          <t>F07-07</t>
        </is>
      </c>
      <c r="D70" s="4" t="inlineStr">
        <is>
          <t>指数比较分析</t>
        </is>
      </c>
      <c r="E70" s="5" t="inlineStr">
        <is>
          <t>对标中债综合/信用/政策行等指数，跟踪误差（TE）日频监控，超额Alpha三因子分解</t>
        </is>
      </c>
      <c r="F70" s="5" t="inlineStr">
        <is>
          <t>TE计算误差&lt;1bps，支持≥10基准指数</t>
        </is>
      </c>
      <c r="G70" s="25" t="inlineStr">
        <is>
          <t>中</t>
        </is>
      </c>
      <c r="H70" s="8" t="n">
        <v>25</v>
      </c>
    </row>
    <row r="71" ht="28" customHeight="1">
      <c r="A71" s="5" t="inlineStr">
        <is>
          <t>组合管理+绩效归因</t>
        </is>
      </c>
      <c r="B71" s="3" t="inlineStr">
        <is>
          <t>P1</t>
        </is>
      </c>
      <c r="C71" s="3" t="inlineStr">
        <is>
          <t>F07-08</t>
        </is>
      </c>
      <c r="D71" s="4" t="inlineStr">
        <is>
          <t>绩效归因（Brinson）</t>
        </is>
      </c>
      <c r="E71" s="5" t="inlineStr">
        <is>
          <t>BHB三效应：资产配置/个券选择/交互效应，日/周/月/季多维度，报告PDF自动生成</t>
        </is>
      </c>
      <c r="F71" s="5" t="inlineStr">
        <is>
          <t>Brinson结果与Bloomberg AIM误差&lt;0.1%，T+1 9:00前自动报告</t>
        </is>
      </c>
      <c r="G71" s="24" t="inlineStr">
        <is>
          <t>高</t>
        </is>
      </c>
      <c r="H71" s="8" t="n">
        <v>40</v>
      </c>
    </row>
    <row r="72" ht="28" customHeight="1">
      <c r="A72" s="5" t="inlineStr">
        <is>
          <t>组合管理+绩效归因</t>
        </is>
      </c>
      <c r="B72" s="3" t="inlineStr">
        <is>
          <t>P1</t>
        </is>
      </c>
      <c r="C72" s="3" t="inlineStr">
        <is>
          <t>F07-09</t>
        </is>
      </c>
      <c r="D72" s="4" t="inlineStr">
        <is>
          <t>虚拟组合分析</t>
        </is>
      </c>
      <c r="E72" s="5" t="inlineStr">
        <is>
          <t>组合调整前后净值/风险/收益效果模拟（纸面交易），冲击成本预估，多方案对比</t>
        </is>
      </c>
      <c r="F72" s="5" t="inlineStr">
        <is>
          <t>虚拟组合模拟与真实执行偏差&lt;0.3%</t>
        </is>
      </c>
      <c r="G72" s="24" t="inlineStr">
        <is>
          <t>高</t>
        </is>
      </c>
      <c r="H72" s="8" t="n">
        <v>20</v>
      </c>
    </row>
    <row r="73" ht="28" customHeight="1">
      <c r="A73" s="5" t="inlineStr">
        <is>
          <t>组合管理+绩效归因</t>
        </is>
      </c>
      <c r="B73" s="3" t="inlineStr">
        <is>
          <t>P1</t>
        </is>
      </c>
      <c r="C73" s="3" t="inlineStr">
        <is>
          <t>F07-10</t>
        </is>
      </c>
      <c r="D73" s="4" t="inlineStr">
        <is>
          <t>再平衡方案试算与比较</t>
        </is>
      </c>
      <c r="E73" s="5" t="inlineStr">
        <is>
          <t>久期/集中度/流动性/合规约束联合优化（二次规划QP），多方案并行试算，最优路径推荐</t>
        </is>
      </c>
      <c r="F73" s="5" t="inlineStr">
        <is>
          <t>QP求解100券组合&lt;5s，约束满足率100%</t>
        </is>
      </c>
      <c r="G73" s="24" t="inlineStr">
        <is>
          <t>高</t>
        </is>
      </c>
      <c r="H73" s="8" t="n">
        <v>35</v>
      </c>
    </row>
    <row r="74" ht="28" customHeight="1">
      <c r="A74" s="5" t="inlineStr">
        <is>
          <t>组合管理+绩效归因</t>
        </is>
      </c>
      <c r="B74" s="3" t="inlineStr">
        <is>
          <t>P1</t>
        </is>
      </c>
      <c r="C74" s="3" t="inlineStr">
        <is>
          <t>F07-11</t>
        </is>
      </c>
      <c r="D74" s="4" t="inlineStr">
        <is>
          <t>资产配置策略分析</t>
        </is>
      </c>
      <c r="E74" s="5" t="inlineStr">
        <is>
          <t>宏观因子（利率/信用/流动性周期）驱动大类资产配置模型，动态权重优化，历史回测验证</t>
        </is>
      </c>
      <c r="F74" s="5" t="inlineStr">
        <is>
          <t>回测期≥5年，预测方向胜率&gt;55%</t>
        </is>
      </c>
      <c r="G74" s="24" t="inlineStr">
        <is>
          <t>高</t>
        </is>
      </c>
      <c r="H74" s="8" t="n">
        <v>40</v>
      </c>
    </row>
    <row r="75" ht="28" customHeight="1">
      <c r="A75" s="5" t="inlineStr">
        <is>
          <t>组合管理+绩效归因</t>
        </is>
      </c>
      <c r="B75" s="3" t="inlineStr">
        <is>
          <t>P1</t>
        </is>
      </c>
      <c r="C75" s="3" t="inlineStr">
        <is>
          <t>F07-12</t>
        </is>
      </c>
      <c r="D75" s="4" t="inlineStr">
        <is>
          <t>固收+策略分析</t>
        </is>
      </c>
      <c r="E75" s="5" t="inlineStr">
        <is>
          <t>债券底仓+衍生品增强策略P&amp;L归因，风险分解（利率/信用/期权贡献），固收+净值模拟</t>
        </is>
      </c>
      <c r="F75" s="5" t="inlineStr">
        <is>
          <t>固收+净值模拟与实际偏差&lt;0.5%</t>
        </is>
      </c>
      <c r="G75" s="24" t="inlineStr">
        <is>
          <t>高</t>
        </is>
      </c>
      <c r="H75" s="8" t="n">
        <v>30</v>
      </c>
    </row>
    <row r="76" ht="28" customHeight="1">
      <c r="A76" s="5" t="inlineStr">
        <is>
          <t>组合管理+绩效归因</t>
        </is>
      </c>
      <c r="B76" s="3" t="inlineStr">
        <is>
          <t>P1</t>
        </is>
      </c>
      <c r="C76" s="3" t="inlineStr">
        <is>
          <t>F07-13</t>
        </is>
      </c>
      <c r="D76" s="4" t="inlineStr">
        <is>
          <t>量化策略组合分析</t>
        </is>
      </c>
      <c r="E76" s="5" t="inlineStr">
        <is>
          <t>多策略组合叠加容量约束，策略相关性管理，Sharpe/最大回撤/Calmar实时监控</t>
        </is>
      </c>
      <c r="F76" s="5" t="inlineStr">
        <is>
          <t>策略容量计算误差&lt;5%</t>
        </is>
      </c>
      <c r="G76" s="24" t="inlineStr">
        <is>
          <t>高</t>
        </is>
      </c>
      <c r="H76" s="8" t="n">
        <v>35</v>
      </c>
    </row>
    <row r="77" ht="28" customHeight="1">
      <c r="A77" s="5" t="inlineStr">
        <is>
          <t>组合管理+绩效归因</t>
        </is>
      </c>
      <c r="B77" s="3" t="inlineStr">
        <is>
          <t>P1</t>
        </is>
      </c>
      <c r="C77" s="3" t="inlineStr">
        <is>
          <t>F07-14</t>
        </is>
      </c>
      <c r="D77" s="4" t="inlineStr">
        <is>
          <t>流动性分析</t>
        </is>
      </c>
      <c r="E77" s="5" t="inlineStr">
        <is>
          <t>逐券换手率/市场深度评估，组合变现能力分析，流动性压力下变现损失（LVaR）估算</t>
        </is>
      </c>
      <c r="F77" s="5" t="inlineStr">
        <is>
          <t>LVaR与市场基准误差&lt;5%，日均成交量覆盖≥95%持仓</t>
        </is>
      </c>
      <c r="G77" s="25" t="inlineStr">
        <is>
          <t>中</t>
        </is>
      </c>
      <c r="H77" s="8" t="n">
        <v>20</v>
      </c>
    </row>
    <row r="78" ht="28" customHeight="1">
      <c r="A78" s="5" t="inlineStr">
        <is>
          <t>组合管理+绩效归因</t>
        </is>
      </c>
      <c r="B78" s="3" t="inlineStr">
        <is>
          <t>P1</t>
        </is>
      </c>
      <c r="C78" s="3" t="inlineStr">
        <is>
          <t>F07-15</t>
        </is>
      </c>
      <c r="D78" s="4" t="inlineStr">
        <is>
          <t>定价计算集成</t>
        </is>
      </c>
      <c r="E78" s="5" t="inlineStr">
        <is>
          <t>调用量化定价引擎实时估值与Greeks，含权债/可转债/IRS，结果缓存（Redis）与Kafka推送</t>
        </is>
      </c>
      <c r="F78" s="5" t="inlineStr">
        <is>
          <t>定价API p99&lt;200ms，日终全量估值&lt;30min（10万券）</t>
        </is>
      </c>
      <c r="G78" s="24" t="inlineStr">
        <is>
          <t>高</t>
        </is>
      </c>
      <c r="H78" s="8" t="n">
        <v>20</v>
      </c>
    </row>
    <row r="79" ht="28" customHeight="1">
      <c r="A79" s="5" t="inlineStr">
        <is>
          <t>组合管理+绩效归因</t>
        </is>
      </c>
      <c r="B79" s="3" t="inlineStr">
        <is>
          <t>P1</t>
        </is>
      </c>
      <c r="C79" s="3" t="inlineStr">
        <is>
          <t>F07-16</t>
        </is>
      </c>
      <c r="D79" s="4" t="inlineStr">
        <is>
          <t>利率曲线集成</t>
        </is>
      </c>
      <c r="E79" s="5" t="inlineStr">
        <is>
          <t>多曲线实时消费（国债/政策行/AAA信用/OIS），NS参数提取（水平/斜率/曲率），敏感度映射</t>
        </is>
      </c>
      <c r="F79" s="5" t="inlineStr">
        <is>
          <t>曲线更新延迟&lt;1s，NS拟合R²&gt;0.999</t>
        </is>
      </c>
      <c r="G79" s="25" t="inlineStr">
        <is>
          <t>中</t>
        </is>
      </c>
      <c r="H79" s="8" t="n">
        <v>15</v>
      </c>
    </row>
    <row r="80" ht="28" customHeight="1">
      <c r="A80" s="5" t="inlineStr">
        <is>
          <t>组合管理+绩效归因</t>
        </is>
      </c>
      <c r="B80" s="3" t="inlineStr">
        <is>
          <t>P1</t>
        </is>
      </c>
      <c r="C80" s="3" t="inlineStr">
        <is>
          <t>F07-17</t>
        </is>
      </c>
      <c r="D80" s="4" t="inlineStr">
        <is>
          <t>因子模型</t>
        </is>
      </c>
      <c r="E80" s="5" t="inlineStr">
        <is>
          <t>多因子风险模型（利率/信用/流动性/行业因子），Alpha因子库（≥20因子），因子暴露实时计算</t>
        </is>
      </c>
      <c r="F80" s="5" t="inlineStr">
        <is>
          <t>因子模型解释方差&gt;80%，Alpha IC均值&gt;0.05</t>
        </is>
      </c>
      <c r="G80" s="24" t="inlineStr">
        <is>
          <t>高</t>
        </is>
      </c>
      <c r="H80" s="8" t="n">
        <v>40</v>
      </c>
    </row>
    <row r="81" ht="20" customHeight="1">
      <c r="A81" s="23" t="inlineStr">
        <is>
          <t>【P1】 策略投资/量化  (Quant Strategy)</t>
        </is>
      </c>
    </row>
    <row r="82" ht="28" customHeight="1">
      <c r="A82" s="5" t="inlineStr">
        <is>
          <t>策略投资/量化</t>
        </is>
      </c>
      <c r="B82" s="3" t="inlineStr">
        <is>
          <t>P1</t>
        </is>
      </c>
      <c r="C82" s="3" t="inlineStr">
        <is>
          <t>F08-01</t>
        </is>
      </c>
      <c r="D82" s="4" t="inlineStr">
        <is>
          <t>因子模型框架</t>
        </is>
      </c>
      <c r="E82" s="5" t="inlineStr">
        <is>
          <t>多因子Alpha模型+风险因子，支持自定义因子上传与测试</t>
        </is>
      </c>
      <c r="F82" s="5" t="inlineStr">
        <is>
          <t>功能完整/边界测试/集成冒烟/性能基线</t>
        </is>
      </c>
      <c r="G82" s="24" t="inlineStr">
        <is>
          <t>高</t>
        </is>
      </c>
      <c r="H82" s="8" t="n">
        <v>40</v>
      </c>
    </row>
    <row r="83" ht="28" customHeight="1">
      <c r="A83" s="5" t="inlineStr">
        <is>
          <t>策略投资/量化</t>
        </is>
      </c>
      <c r="B83" s="3" t="inlineStr">
        <is>
          <t>P1</t>
        </is>
      </c>
      <c r="C83" s="3" t="inlineStr">
        <is>
          <t>F08-02</t>
        </is>
      </c>
      <c r="D83" s="4" t="inlineStr">
        <is>
          <t>Tick级回测引擎</t>
        </is>
      </c>
      <c r="E83" s="5" t="inlineStr">
        <is>
          <t>Tick数据驱动回测，真实滑点/冲击模型，批量参数优化</t>
        </is>
      </c>
      <c r="F83" s="5" t="inlineStr">
        <is>
          <t>p99延迟/误差率/精度验证/压测10k TPS</t>
        </is>
      </c>
      <c r="G83" s="27" t="inlineStr">
        <is>
          <t>极高</t>
        </is>
      </c>
      <c r="H83" s="8" t="n">
        <v>60</v>
      </c>
    </row>
    <row r="84" ht="28" customHeight="1">
      <c r="A84" s="5" t="inlineStr">
        <is>
          <t>策略投资/量化</t>
        </is>
      </c>
      <c r="B84" s="3" t="inlineStr">
        <is>
          <t>P1</t>
        </is>
      </c>
      <c r="C84" s="3" t="inlineStr">
        <is>
          <t>F08-03</t>
        </is>
      </c>
      <c r="D84" s="4" t="inlineStr">
        <is>
          <t>信号生成与调度</t>
        </is>
      </c>
      <c r="E84" s="5" t="inlineStr">
        <is>
          <t>策略信号实时计算，支持Python/C++策略脚本沙箱运行</t>
        </is>
      </c>
      <c r="F84" s="5" t="inlineStr">
        <is>
          <t>功能完整/边界测试/集成冒烟/性能基线</t>
        </is>
      </c>
      <c r="G84" s="24" t="inlineStr">
        <is>
          <t>高</t>
        </is>
      </c>
      <c r="H84" s="8" t="n">
        <v>40</v>
      </c>
    </row>
    <row r="85" ht="28" customHeight="1">
      <c r="A85" s="5" t="inlineStr">
        <is>
          <t>策略投资/量化</t>
        </is>
      </c>
      <c r="B85" s="3" t="inlineStr">
        <is>
          <t>P1</t>
        </is>
      </c>
      <c r="C85" s="3" t="inlineStr">
        <is>
          <t>F08-04</t>
        </is>
      </c>
      <c r="D85" s="4" t="inlineStr">
        <is>
          <t>低延迟执行接口</t>
        </is>
      </c>
      <c r="E85" s="5" t="inlineStr">
        <is>
          <t>与ATP超低延迟执行层对接，算法拆单（TWAP/VWAP/IS）</t>
        </is>
      </c>
      <c r="F85" s="5" t="inlineStr">
        <is>
          <t>p99延迟/误差率/精度验证/压测10k TPS</t>
        </is>
      </c>
      <c r="G85" s="27" t="inlineStr">
        <is>
          <t>极高</t>
        </is>
      </c>
      <c r="H85" s="8" t="n">
        <v>45</v>
      </c>
    </row>
    <row r="86" ht="28" customHeight="1">
      <c r="A86" s="5" t="inlineStr">
        <is>
          <t>策略投资/量化</t>
        </is>
      </c>
      <c r="B86" s="3" t="inlineStr">
        <is>
          <t>P1</t>
        </is>
      </c>
      <c r="C86" s="3" t="inlineStr">
        <is>
          <t>F08-05</t>
        </is>
      </c>
      <c r="D86" s="4" t="inlineStr">
        <is>
          <t>实时策略监控</t>
        </is>
      </c>
      <c r="E86" s="5" t="inlineStr">
        <is>
          <t>持仓/PnL/回撤/Sharpe实时看板，风险触发自动平仓</t>
        </is>
      </c>
      <c r="F86" s="5" t="inlineStr">
        <is>
          <t>功能测试通过/正确率100%</t>
        </is>
      </c>
      <c r="G86" s="25" t="inlineStr">
        <is>
          <t>中</t>
        </is>
      </c>
      <c r="H86" s="8" t="n">
        <v>20</v>
      </c>
    </row>
    <row r="87" ht="20" customHeight="1">
      <c r="A87" s="28" t="inlineStr">
        <is>
          <t>【P2】 量化定价引擎  (Quant Pricing Engine)</t>
        </is>
      </c>
    </row>
    <row r="88" ht="28" customHeight="1">
      <c r="A88" s="11" t="inlineStr">
        <is>
          <t>量化定价引擎</t>
        </is>
      </c>
      <c r="B88" s="10" t="inlineStr">
        <is>
          <t>P2</t>
        </is>
      </c>
      <c r="C88" s="10" t="inlineStr">
        <is>
          <t>F09-01</t>
        </is>
      </c>
      <c r="D88" s="29" t="inlineStr">
        <is>
          <t>期限结构模型</t>
        </is>
      </c>
      <c r="E88" s="11" t="inlineStr">
        <is>
          <t>Nelson-Siegel/Svensson/HJM等多模型参数拟合，实时曲线</t>
        </is>
      </c>
      <c r="F88" s="11" t="inlineStr">
        <is>
          <t>p99延迟/误差率/精度验证/压测10k TPS</t>
        </is>
      </c>
      <c r="G88" s="27" t="inlineStr">
        <is>
          <t>极高</t>
        </is>
      </c>
      <c r="H88" s="14" t="n">
        <v>60</v>
      </c>
    </row>
    <row r="89" ht="28" customHeight="1">
      <c r="A89" s="11" t="inlineStr">
        <is>
          <t>量化定价引擎</t>
        </is>
      </c>
      <c r="B89" s="10" t="inlineStr">
        <is>
          <t>P2</t>
        </is>
      </c>
      <c r="C89" s="10" t="inlineStr">
        <is>
          <t>F09-02</t>
        </is>
      </c>
      <c r="D89" s="29" t="inlineStr">
        <is>
          <t>蒙特卡洛求解器</t>
        </is>
      </c>
      <c r="E89" s="11" t="inlineStr">
        <is>
          <t>GPU加速MC，QMC低差异序列，支持路径相关期权定价</t>
        </is>
      </c>
      <c r="F89" s="11" t="inlineStr">
        <is>
          <t>p99延迟/误差率/精度验证/压测10k TPS</t>
        </is>
      </c>
      <c r="G89" s="27" t="inlineStr">
        <is>
          <t>极高</t>
        </is>
      </c>
      <c r="H89" s="14" t="n">
        <v>70</v>
      </c>
    </row>
    <row r="90" ht="28" customHeight="1">
      <c r="A90" s="11" t="inlineStr">
        <is>
          <t>量化定价引擎</t>
        </is>
      </c>
      <c r="B90" s="10" t="inlineStr">
        <is>
          <t>P2</t>
        </is>
      </c>
      <c r="C90" s="10" t="inlineStr">
        <is>
          <t>F09-03</t>
        </is>
      </c>
      <c r="D90" s="29" t="inlineStr">
        <is>
          <t>有限差分（PDE）</t>
        </is>
      </c>
      <c r="E90" s="11" t="inlineStr">
        <is>
          <t>Crank-Nicolson/ADI方法，含权债/可转债精确定价</t>
        </is>
      </c>
      <c r="F90" s="11" t="inlineStr">
        <is>
          <t>p99延迟/误差率/精度验证/压测10k TPS</t>
        </is>
      </c>
      <c r="G90" s="27" t="inlineStr">
        <is>
          <t>极高</t>
        </is>
      </c>
      <c r="H90" s="14" t="n">
        <v>60</v>
      </c>
    </row>
    <row r="91" ht="28" customHeight="1">
      <c r="A91" s="11" t="inlineStr">
        <is>
          <t>量化定价引擎</t>
        </is>
      </c>
      <c r="B91" s="10" t="inlineStr">
        <is>
          <t>P2</t>
        </is>
      </c>
      <c r="C91" s="10" t="inlineStr">
        <is>
          <t>F09-04</t>
        </is>
      </c>
      <c r="D91" s="29" t="inlineStr">
        <is>
          <t>实时Greeks</t>
        </is>
      </c>
      <c r="E91" s="11" t="inlineStr">
        <is>
          <t>Delta/Gamma/Vega/Theta/Rho分布式实时计算</t>
        </is>
      </c>
      <c r="F91" s="11" t="inlineStr">
        <is>
          <t>功能完整/边界测试/集成冒烟/性能基线</t>
        </is>
      </c>
      <c r="G91" s="24" t="inlineStr">
        <is>
          <t>高</t>
        </is>
      </c>
      <c r="H91" s="14" t="n">
        <v>40</v>
      </c>
    </row>
    <row r="92" ht="28" customHeight="1">
      <c r="A92" s="11" t="inlineStr">
        <is>
          <t>量化定价引擎</t>
        </is>
      </c>
      <c r="B92" s="10" t="inlineStr">
        <is>
          <t>P2</t>
        </is>
      </c>
      <c r="C92" s="10" t="inlineStr">
        <is>
          <t>F09-05</t>
        </is>
      </c>
      <c r="D92" s="29" t="inlineStr">
        <is>
          <t>定价服务微服务架构</t>
        </is>
      </c>
      <c r="E92" s="11" t="inlineStr">
        <is>
          <t>REST/gRPC定价API，支持横向扩展，p99&lt;100ms</t>
        </is>
      </c>
      <c r="F92" s="11" t="inlineStr">
        <is>
          <t>功能完整/边界测试/集成冒烟/性能基线</t>
        </is>
      </c>
      <c r="G92" s="24" t="inlineStr">
        <is>
          <t>高</t>
        </is>
      </c>
      <c r="H92" s="14" t="n">
        <v>40</v>
      </c>
    </row>
    <row r="93" ht="28" customHeight="1">
      <c r="A93" s="11" t="inlineStr">
        <is>
          <t>量化定价引擎</t>
        </is>
      </c>
      <c r="B93" s="10" t="inlineStr">
        <is>
          <t>P2</t>
        </is>
      </c>
      <c r="C93" s="10" t="inlineStr">
        <is>
          <t>F09-06</t>
        </is>
      </c>
      <c r="D93" s="29" t="inlineStr">
        <is>
          <t>历史估值回测</t>
        </is>
      </c>
      <c r="E93" s="11" t="inlineStr">
        <is>
          <t>基于历史行情重放定价误差分析，模型验证框架</t>
        </is>
      </c>
      <c r="F93" s="11" t="inlineStr">
        <is>
          <t>功能完整/边界测试/集成冒烟/性能基线</t>
        </is>
      </c>
      <c r="G93" s="24" t="inlineStr">
        <is>
          <t>高</t>
        </is>
      </c>
      <c r="H93" s="14" t="n">
        <v>30</v>
      </c>
    </row>
    <row r="94" ht="20" customHeight="1">
      <c r="A94" s="28" t="inlineStr">
        <is>
          <t>【P2】 利率衍生品  (Interest Rate Derivatives)</t>
        </is>
      </c>
    </row>
    <row r="95" ht="28" customHeight="1">
      <c r="A95" s="11" t="inlineStr">
        <is>
          <t>利率衍生品</t>
        </is>
      </c>
      <c r="B95" s="10" t="inlineStr">
        <is>
          <t>P2</t>
        </is>
      </c>
      <c r="C95" s="10" t="inlineStr">
        <is>
          <t>F10-01</t>
        </is>
      </c>
      <c r="D95" s="29" t="inlineStr">
        <is>
          <t>IRS/OIS/CCS定价</t>
        </is>
      </c>
      <c r="E95" s="11" t="inlineStr">
        <is>
          <t>利率互换标准与非标结构定价，折现曲线OIS</t>
        </is>
      </c>
      <c r="F95" s="11" t="inlineStr">
        <is>
          <t>p99延迟/误差率/精度验证/压测10k TPS</t>
        </is>
      </c>
      <c r="G95" s="27" t="inlineStr">
        <is>
          <t>极高</t>
        </is>
      </c>
      <c r="H95" s="14" t="n">
        <v>60</v>
      </c>
    </row>
    <row r="96" ht="28" customHeight="1">
      <c r="A96" s="11" t="inlineStr">
        <is>
          <t>利率衍生品</t>
        </is>
      </c>
      <c r="B96" s="10" t="inlineStr">
        <is>
          <t>P2</t>
        </is>
      </c>
      <c r="C96" s="10" t="inlineStr">
        <is>
          <t>F10-02</t>
        </is>
      </c>
      <c r="D96" s="29" t="inlineStr">
        <is>
          <t>久期/DV01/凸度</t>
        </is>
      </c>
      <c r="E96" s="11" t="inlineStr">
        <is>
          <t>利率衍生品Greeks实时计算，组合对冲比率</t>
        </is>
      </c>
      <c r="F96" s="11" t="inlineStr">
        <is>
          <t>功能完整/边界测试/集成冒烟/性能基线</t>
        </is>
      </c>
      <c r="G96" s="24" t="inlineStr">
        <is>
          <t>高</t>
        </is>
      </c>
      <c r="H96" s="14" t="n">
        <v>30</v>
      </c>
    </row>
    <row r="97" ht="28" customHeight="1">
      <c r="A97" s="11" t="inlineStr">
        <is>
          <t>利率衍生品</t>
        </is>
      </c>
      <c r="B97" s="10" t="inlineStr">
        <is>
          <t>P2</t>
        </is>
      </c>
      <c r="C97" s="10" t="inlineStr">
        <is>
          <t>F10-03</t>
        </is>
      </c>
      <c r="D97" s="29" t="inlineStr">
        <is>
          <t>LCH/上清所CCP接口</t>
        </is>
      </c>
      <c r="E97" s="11" t="inlineStr">
        <is>
          <t>标准化IRS中央清算，保证金（IM/VM）计算</t>
        </is>
      </c>
      <c r="F97" s="11" t="inlineStr">
        <is>
          <t>功能完整/边界测试/集成冒烟/性能基线</t>
        </is>
      </c>
      <c r="G97" s="24" t="inlineStr">
        <is>
          <t>高</t>
        </is>
      </c>
      <c r="H97" s="14" t="n">
        <v>35</v>
      </c>
    </row>
    <row r="98" ht="28" customHeight="1">
      <c r="A98" s="11" t="inlineStr">
        <is>
          <t>利率衍生品</t>
        </is>
      </c>
      <c r="B98" s="10" t="inlineStr">
        <is>
          <t>P2</t>
        </is>
      </c>
      <c r="C98" s="10" t="inlineStr">
        <is>
          <t>F10-04</t>
        </is>
      </c>
      <c r="D98" s="29" t="inlineStr">
        <is>
          <t>压力测试/情景分析</t>
        </is>
      </c>
      <c r="E98" s="11" t="inlineStr">
        <is>
          <t>利率曲线平移/扭转/蝶式情景，组合P&amp;L影响</t>
        </is>
      </c>
      <c r="F98" s="11" t="inlineStr">
        <is>
          <t>功能完整/边界测试/集成冒烟/性能基线</t>
        </is>
      </c>
      <c r="G98" s="24" t="inlineStr">
        <is>
          <t>高</t>
        </is>
      </c>
      <c r="H98" s="14" t="n">
        <v>30</v>
      </c>
    </row>
    <row r="99" ht="28" customHeight="1">
      <c r="A99" s="11" t="inlineStr">
        <is>
          <t>利率衍生品</t>
        </is>
      </c>
      <c r="B99" s="10" t="inlineStr">
        <is>
          <t>P2</t>
        </is>
      </c>
      <c r="C99" s="10" t="inlineStr">
        <is>
          <t>F10-05</t>
        </is>
      </c>
      <c r="D99" s="29" t="inlineStr">
        <is>
          <t>利率曲线发布</t>
        </is>
      </c>
      <c r="E99" s="11" t="inlineStr">
        <is>
          <t>多曲线框架（OIS/中债曲线）实时发布</t>
        </is>
      </c>
      <c r="F99" s="11" t="inlineStr">
        <is>
          <t>功能完整/边界测试/集成冒烟/性能基线</t>
        </is>
      </c>
      <c r="G99" s="24" t="inlineStr">
        <is>
          <t>高</t>
        </is>
      </c>
      <c r="H99" s="14" t="n">
        <v>30</v>
      </c>
    </row>
    <row r="100" ht="20" customHeight="1">
      <c r="A100" s="28" t="inlineStr">
        <is>
          <t>【P2】 信用债/信用衍生品  (Credit &amp; CDS)</t>
        </is>
      </c>
    </row>
    <row r="101" ht="28" customHeight="1">
      <c r="A101" s="11" t="inlineStr">
        <is>
          <t>信用债/信用衍生品</t>
        </is>
      </c>
      <c r="B101" s="10" t="inlineStr">
        <is>
          <t>P2</t>
        </is>
      </c>
      <c r="C101" s="10" t="inlineStr">
        <is>
          <t>F11-01</t>
        </is>
      </c>
      <c r="D101" s="29" t="inlineStr">
        <is>
          <t>信用利差分析</t>
        </is>
      </c>
      <c r="E101" s="11" t="inlineStr">
        <is>
          <t>行业/评级/期限信用利差曲线实时计算，历史分位数分析</t>
        </is>
      </c>
      <c r="F101" s="11" t="inlineStr">
        <is>
          <t>功能完整/边界测试/集成冒烟/性能基线</t>
        </is>
      </c>
      <c r="G101" s="24" t="inlineStr">
        <is>
          <t>高</t>
        </is>
      </c>
      <c r="H101" s="14" t="n">
        <v>30</v>
      </c>
    </row>
    <row r="102" ht="28" customHeight="1">
      <c r="A102" s="11" t="inlineStr">
        <is>
          <t>信用债/信用衍生品</t>
        </is>
      </c>
      <c r="B102" s="10" t="inlineStr">
        <is>
          <t>P2</t>
        </is>
      </c>
      <c r="C102" s="10" t="inlineStr">
        <is>
          <t>F11-02</t>
        </is>
      </c>
      <c r="D102" s="29" t="inlineStr">
        <is>
          <t>CDS/CLN定价</t>
        </is>
      </c>
      <c r="E102" s="11" t="inlineStr">
        <is>
          <t>信用违约互换定价，ISDA标准，生存概率曲线校准</t>
        </is>
      </c>
      <c r="F102" s="11" t="inlineStr">
        <is>
          <t>p99延迟/误差率/精度验证/压测10k TPS</t>
        </is>
      </c>
      <c r="G102" s="27" t="inlineStr">
        <is>
          <t>极高</t>
        </is>
      </c>
      <c r="H102" s="14" t="n">
        <v>50</v>
      </c>
    </row>
    <row r="103" ht="28" customHeight="1">
      <c r="A103" s="11" t="inlineStr">
        <is>
          <t>信用债/信用衍生品</t>
        </is>
      </c>
      <c r="B103" s="10" t="inlineStr">
        <is>
          <t>P2</t>
        </is>
      </c>
      <c r="C103" s="10" t="inlineStr">
        <is>
          <t>F11-03</t>
        </is>
      </c>
      <c r="D103" s="29" t="inlineStr">
        <is>
          <t>信用评级动态监控</t>
        </is>
      </c>
      <c r="E103" s="11" t="inlineStr">
        <is>
          <t>对接外部评级机构（中诚信/联合/大公），评级下调预警</t>
        </is>
      </c>
      <c r="F103" s="11" t="inlineStr">
        <is>
          <t>功能测试通过/正确率100%</t>
        </is>
      </c>
      <c r="G103" s="25" t="inlineStr">
        <is>
          <t>中</t>
        </is>
      </c>
      <c r="H103" s="14" t="n">
        <v>20</v>
      </c>
    </row>
    <row r="104" ht="28" customHeight="1">
      <c r="A104" s="11" t="inlineStr">
        <is>
          <t>信用债/信用衍生品</t>
        </is>
      </c>
      <c r="B104" s="10" t="inlineStr">
        <is>
          <t>P2</t>
        </is>
      </c>
      <c r="C104" s="10" t="inlineStr">
        <is>
          <t>F11-04</t>
        </is>
      </c>
      <c r="D104" s="29" t="inlineStr">
        <is>
          <t>违约概率（PD）建模</t>
        </is>
      </c>
      <c r="E104" s="11" t="inlineStr">
        <is>
          <t>结构化Merton模型+市场隐含PD，信用风险计量</t>
        </is>
      </c>
      <c r="F104" s="11" t="inlineStr">
        <is>
          <t>功能完整/边界测试/集成冒烟/性能基线</t>
        </is>
      </c>
      <c r="G104" s="24" t="inlineStr">
        <is>
          <t>高</t>
        </is>
      </c>
      <c r="H104" s="14" t="n">
        <v>40</v>
      </c>
    </row>
    <row r="105" ht="28" customHeight="1">
      <c r="A105" s="11" t="inlineStr">
        <is>
          <t>信用债/信用衍生品</t>
        </is>
      </c>
      <c r="B105" s="10" t="inlineStr">
        <is>
          <t>P2</t>
        </is>
      </c>
      <c r="C105" s="10" t="inlineStr">
        <is>
          <t>F11-05</t>
        </is>
      </c>
      <c r="D105" s="29" t="inlineStr">
        <is>
          <t>集中度限额管理</t>
        </is>
      </c>
      <c r="E105" s="11" t="inlineStr">
        <is>
          <t>行业/发行人/评级集中度多维限额，超限预警</t>
        </is>
      </c>
      <c r="F105" s="11" t="inlineStr">
        <is>
          <t>功能测试通过/正确率100%</t>
        </is>
      </c>
      <c r="G105" s="25" t="inlineStr">
        <is>
          <t>中</t>
        </is>
      </c>
      <c r="H105" s="14" t="n">
        <v>20</v>
      </c>
    </row>
    <row r="106" ht="20" customHeight="1">
      <c r="A106" s="28" t="inlineStr">
        <is>
          <t>【P2】 数据管理/行情平台  (Market Data Platform)</t>
        </is>
      </c>
    </row>
    <row r="107" ht="28" customHeight="1">
      <c r="A107" s="11" t="inlineStr">
        <is>
          <t>数据管理/行情平台</t>
        </is>
      </c>
      <c r="B107" s="10" t="inlineStr">
        <is>
          <t>P2</t>
        </is>
      </c>
      <c r="C107" s="10" t="inlineStr">
        <is>
          <t>F12-01</t>
        </is>
      </c>
      <c r="D107" s="29" t="inlineStr">
        <is>
          <t>多源行情聚合</t>
        </is>
      </c>
      <c r="E107" s="11" t="inlineStr">
        <is>
          <t>Bloomberg/Wind/中汇信/Refinitiv多源融合，冲突解析</t>
        </is>
      </c>
      <c r="F107" s="11" t="inlineStr">
        <is>
          <t>功能完整/边界测试/集成冒烟/性能基线</t>
        </is>
      </c>
      <c r="G107" s="24" t="inlineStr">
        <is>
          <t>高</t>
        </is>
      </c>
      <c r="H107" s="14" t="n">
        <v>25</v>
      </c>
    </row>
    <row r="108" ht="28" customHeight="1">
      <c r="A108" s="11" t="inlineStr">
        <is>
          <t>数据管理/行情平台</t>
        </is>
      </c>
      <c r="B108" s="10" t="inlineStr">
        <is>
          <t>P2</t>
        </is>
      </c>
      <c r="C108" s="10" t="inlineStr">
        <is>
          <t>F12-02</t>
        </is>
      </c>
      <c r="D108" s="29" t="inlineStr">
        <is>
          <t>数据质量校验</t>
        </is>
      </c>
      <c r="E108" s="11" t="inlineStr">
        <is>
          <t>异常值/缺失值/跳价自动检测，修复建议与人工审核</t>
        </is>
      </c>
      <c r="F108" s="11" t="inlineStr">
        <is>
          <t>功能测试通过/正确率100%</t>
        </is>
      </c>
      <c r="G108" s="25" t="inlineStr">
        <is>
          <t>中</t>
        </is>
      </c>
      <c r="H108" s="14" t="n">
        <v>15</v>
      </c>
    </row>
    <row r="109" ht="28" customHeight="1">
      <c r="A109" s="11" t="inlineStr">
        <is>
          <t>数据管理/行情平台</t>
        </is>
      </c>
      <c r="B109" s="10" t="inlineStr">
        <is>
          <t>P2</t>
        </is>
      </c>
      <c r="C109" s="10" t="inlineStr">
        <is>
          <t>F12-03</t>
        </is>
      </c>
      <c r="D109" s="29" t="inlineStr">
        <is>
          <t>历史数据仓库</t>
        </is>
      </c>
      <c r="E109" s="11" t="inlineStr">
        <is>
          <t>Tick/日频历史行情存储，高效查询（ClickHouse/TimescaleDB）</t>
        </is>
      </c>
      <c r="F109" s="11" t="inlineStr">
        <is>
          <t>功能完整/边界测试/集成冒烟/性能基线</t>
        </is>
      </c>
      <c r="G109" s="24" t="inlineStr">
        <is>
          <t>高</t>
        </is>
      </c>
      <c r="H109" s="14" t="n">
        <v>25</v>
      </c>
    </row>
    <row r="110" ht="28" customHeight="1">
      <c r="A110" s="11" t="inlineStr">
        <is>
          <t>数据管理/行情平台</t>
        </is>
      </c>
      <c r="B110" s="10" t="inlineStr">
        <is>
          <t>P2</t>
        </is>
      </c>
      <c r="C110" s="10" t="inlineStr">
        <is>
          <t>F12-04</t>
        </is>
      </c>
      <c r="D110" s="29" t="inlineStr">
        <is>
          <t>收益率曲线发布</t>
        </is>
      </c>
      <c r="E110" s="11" t="inlineStr">
        <is>
          <t>国债/政策行/高等级信用曲线实时发布，Kafka广播</t>
        </is>
      </c>
      <c r="F110" s="11" t="inlineStr">
        <is>
          <t>功能完整/边界测试/集成冒烟/性能基线</t>
        </is>
      </c>
      <c r="G110" s="24" t="inlineStr">
        <is>
          <t>高</t>
        </is>
      </c>
      <c r="H110" s="14" t="n">
        <v>20</v>
      </c>
    </row>
    <row r="111" ht="28" customHeight="1">
      <c r="A111" s="11" t="inlineStr">
        <is>
          <t>数据管理/行情平台</t>
        </is>
      </c>
      <c r="B111" s="10" t="inlineStr">
        <is>
          <t>P2</t>
        </is>
      </c>
      <c r="C111" s="10" t="inlineStr">
        <is>
          <t>F12-05</t>
        </is>
      </c>
      <c r="D111" s="29" t="inlineStr">
        <is>
          <t>估值价格服务</t>
        </is>
      </c>
      <c r="E111" s="11" t="inlineStr">
        <is>
          <t>非活跃债券估值价格（中债估值基准），API接口提供</t>
        </is>
      </c>
      <c r="F111" s="11" t="inlineStr">
        <is>
          <t>功能测试通过/正确率100%</t>
        </is>
      </c>
      <c r="G111" s="25" t="inlineStr">
        <is>
          <t>中</t>
        </is>
      </c>
      <c r="H111" s="14" t="n">
        <v>15</v>
      </c>
    </row>
    <row r="112" ht="20" customHeight="1">
      <c r="A112" s="28" t="inlineStr">
        <is>
          <t>【P2】 交易对手管理  (Counterparty Management)</t>
        </is>
      </c>
    </row>
    <row r="113" ht="28" customHeight="1">
      <c r="A113" s="11" t="inlineStr">
        <is>
          <t>交易对手管理</t>
        </is>
      </c>
      <c r="B113" s="10" t="inlineStr">
        <is>
          <t>P2</t>
        </is>
      </c>
      <c r="C113" s="10" t="inlineStr">
        <is>
          <t>F13-01</t>
        </is>
      </c>
      <c r="D113" s="29" t="inlineStr">
        <is>
          <t>对手方评级与审批</t>
        </is>
      </c>
      <c r="E113" s="11" t="inlineStr">
        <is>
          <t>内部信用评级模型，新增/变更交易对手审批流</t>
        </is>
      </c>
      <c r="F113" s="11" t="inlineStr">
        <is>
          <t>功能测试通过/正确率100%</t>
        </is>
      </c>
      <c r="G113" s="25" t="inlineStr">
        <is>
          <t>中</t>
        </is>
      </c>
      <c r="H113" s="14" t="n">
        <v>20</v>
      </c>
    </row>
    <row r="114" ht="28" customHeight="1">
      <c r="A114" s="11" t="inlineStr">
        <is>
          <t>交易对手管理</t>
        </is>
      </c>
      <c r="B114" s="10" t="inlineStr">
        <is>
          <t>P2</t>
        </is>
      </c>
      <c r="C114" s="10" t="inlineStr">
        <is>
          <t>F13-02</t>
        </is>
      </c>
      <c r="D114" s="29" t="inlineStr">
        <is>
          <t>实时敞口聚合</t>
        </is>
      </c>
      <c r="E114" s="11" t="inlineStr">
        <is>
          <t>跨产品交易对手名义/MtM敞口实时聚合，压力敞口（EPE）</t>
        </is>
      </c>
      <c r="F114" s="11" t="inlineStr">
        <is>
          <t>功能完整/边界测试/集成冒烟/性能基线</t>
        </is>
      </c>
      <c r="G114" s="24" t="inlineStr">
        <is>
          <t>高</t>
        </is>
      </c>
      <c r="H114" s="14" t="n">
        <v>35</v>
      </c>
    </row>
    <row r="115" ht="28" customHeight="1">
      <c r="A115" s="11" t="inlineStr">
        <is>
          <t>交易对手管理</t>
        </is>
      </c>
      <c r="B115" s="10" t="inlineStr">
        <is>
          <t>P2</t>
        </is>
      </c>
      <c r="C115" s="10" t="inlineStr">
        <is>
          <t>F13-03</t>
        </is>
      </c>
      <c r="D115" s="29" t="inlineStr">
        <is>
          <t>ISDA/CSA协议管理</t>
        </is>
      </c>
      <c r="E115" s="11" t="inlineStr">
        <is>
          <t>主协议文档管理，净额结算协议（Netting Set）配置</t>
        </is>
      </c>
      <c r="F115" s="11" t="inlineStr">
        <is>
          <t>功能完整/边界测试/集成冒烟/性能基线</t>
        </is>
      </c>
      <c r="G115" s="24" t="inlineStr">
        <is>
          <t>高</t>
        </is>
      </c>
      <c r="H115" s="14" t="n">
        <v>25</v>
      </c>
    </row>
    <row r="116" ht="28" customHeight="1">
      <c r="A116" s="11" t="inlineStr">
        <is>
          <t>交易对手管理</t>
        </is>
      </c>
      <c r="B116" s="10" t="inlineStr">
        <is>
          <t>P2</t>
        </is>
      </c>
      <c r="C116" s="10" t="inlineStr">
        <is>
          <t>F13-04</t>
        </is>
      </c>
      <c r="D116" s="29" t="inlineStr">
        <is>
          <t>CVA/DVA/FVA计算</t>
        </is>
      </c>
      <c r="E116" s="11" t="inlineStr">
        <is>
          <t>信用/债务/资金估值调整实时估算，敞口报告</t>
        </is>
      </c>
      <c r="F116" s="11" t="inlineStr">
        <is>
          <t>p99延迟/误差率/精度验证/压测10k TPS</t>
        </is>
      </c>
      <c r="G116" s="27" t="inlineStr">
        <is>
          <t>极高</t>
        </is>
      </c>
      <c r="H116" s="14" t="n">
        <v>40</v>
      </c>
    </row>
    <row r="117" ht="28" customHeight="1">
      <c r="A117" s="11" t="inlineStr">
        <is>
          <t>交易对手管理</t>
        </is>
      </c>
      <c r="B117" s="10" t="inlineStr">
        <is>
          <t>P2</t>
        </is>
      </c>
      <c r="C117" s="10" t="inlineStr">
        <is>
          <t>F13-05</t>
        </is>
      </c>
      <c r="D117" s="29" t="inlineStr">
        <is>
          <t>集中度与限额</t>
        </is>
      </c>
      <c r="E117" s="11" t="inlineStr">
        <is>
          <t>对手方/集团合并敞口限额，超限审批与记录</t>
        </is>
      </c>
      <c r="F117" s="11" t="inlineStr">
        <is>
          <t>功能测试通过/正确率100%</t>
        </is>
      </c>
      <c r="G117" s="25" t="inlineStr">
        <is>
          <t>中</t>
        </is>
      </c>
      <c r="H117" s="14" t="n">
        <v>15</v>
      </c>
    </row>
    <row r="118" ht="20" customHeight="1">
      <c r="A118" s="28" t="inlineStr">
        <is>
          <t>【P2】 清算结算后台  (Clearing &amp; Settlement)</t>
        </is>
      </c>
    </row>
    <row r="119" ht="28" customHeight="1">
      <c r="A119" s="11" t="inlineStr">
        <is>
          <t>清算结算后台</t>
        </is>
      </c>
      <c r="B119" s="10" t="inlineStr">
        <is>
          <t>P2</t>
        </is>
      </c>
      <c r="C119" s="10" t="inlineStr">
        <is>
          <t>F14-01</t>
        </is>
      </c>
      <c r="D119" s="29" t="inlineStr">
        <is>
          <t>DVP/FOP指令生成</t>
        </is>
      </c>
      <c r="E119" s="11" t="inlineStr">
        <is>
          <t>成交后自动生成交割指令，批量/单笔支持</t>
        </is>
      </c>
      <c r="F119" s="11" t="inlineStr">
        <is>
          <t>功能完整/边界测试/集成冒烟/性能基线</t>
        </is>
      </c>
      <c r="G119" s="24" t="inlineStr">
        <is>
          <t>高</t>
        </is>
      </c>
      <c r="H119" s="14" t="n">
        <v>25</v>
      </c>
    </row>
    <row r="120" ht="28" customHeight="1">
      <c r="A120" s="11" t="inlineStr">
        <is>
          <t>清算结算后台</t>
        </is>
      </c>
      <c r="B120" s="10" t="inlineStr">
        <is>
          <t>P2</t>
        </is>
      </c>
      <c r="C120" s="10" t="inlineStr">
        <is>
          <t>F14-02</t>
        </is>
      </c>
      <c r="D120" s="29" t="inlineStr">
        <is>
          <t>中登/中债登接口</t>
        </is>
      </c>
      <c r="E120" s="11" t="inlineStr">
        <is>
          <t>银行间债券（中债登）和交易所债券（中登）接口对接</t>
        </is>
      </c>
      <c r="F120" s="11" t="inlineStr">
        <is>
          <t>p99延迟/误差率/精度验证/压测10k TPS</t>
        </is>
      </c>
      <c r="G120" s="27" t="inlineStr">
        <is>
          <t>极高</t>
        </is>
      </c>
      <c r="H120" s="14" t="n">
        <v>40</v>
      </c>
    </row>
    <row r="121" ht="28" customHeight="1">
      <c r="A121" s="11" t="inlineStr">
        <is>
          <t>清算结算后台</t>
        </is>
      </c>
      <c r="B121" s="10" t="inlineStr">
        <is>
          <t>P2</t>
        </is>
      </c>
      <c r="C121" s="10" t="inlineStr">
        <is>
          <t>F14-03</t>
        </is>
      </c>
      <c r="D121" s="29" t="inlineStr">
        <is>
          <t>待交割明细管理</t>
        </is>
      </c>
      <c r="E121" s="11" t="inlineStr">
        <is>
          <t>T+0/T+1待交割跟踪，提前预警可能失败交割</t>
        </is>
      </c>
      <c r="F121" s="11" t="inlineStr">
        <is>
          <t>功能完整/边界测试/集成冒烟/性能基线</t>
        </is>
      </c>
      <c r="G121" s="24" t="inlineStr">
        <is>
          <t>高</t>
        </is>
      </c>
      <c r="H121" s="14" t="n">
        <v>25</v>
      </c>
    </row>
    <row r="122" ht="28" customHeight="1">
      <c r="A122" s="11" t="inlineStr">
        <is>
          <t>清算结算后台</t>
        </is>
      </c>
      <c r="B122" s="10" t="inlineStr">
        <is>
          <t>P2</t>
        </is>
      </c>
      <c r="C122" s="10" t="inlineStr">
        <is>
          <t>F14-04</t>
        </is>
      </c>
      <c r="D122" s="29" t="inlineStr">
        <is>
          <t>资金调拨确认</t>
        </is>
      </c>
      <c r="E122" s="11" t="inlineStr">
        <is>
          <t>资金划拨指令生成，银行资金头寸确认，轧差净额</t>
        </is>
      </c>
      <c r="F122" s="11" t="inlineStr">
        <is>
          <t>功能完整/边界测试/集成冒烟/性能基线</t>
        </is>
      </c>
      <c r="G122" s="24" t="inlineStr">
        <is>
          <t>高</t>
        </is>
      </c>
      <c r="H122" s="14" t="n">
        <v>25</v>
      </c>
    </row>
    <row r="123" ht="28" customHeight="1">
      <c r="A123" s="11" t="inlineStr">
        <is>
          <t>清算结算后台</t>
        </is>
      </c>
      <c r="B123" s="10" t="inlineStr">
        <is>
          <t>P2</t>
        </is>
      </c>
      <c r="C123" s="10" t="inlineStr">
        <is>
          <t>F14-05</t>
        </is>
      </c>
      <c r="D123" s="29" t="inlineStr">
        <is>
          <t>交割失败处理</t>
        </is>
      </c>
      <c r="E123" s="11" t="inlineStr">
        <is>
          <t>失败交割自动识别，补交割流程，罚息计算</t>
        </is>
      </c>
      <c r="F123" s="11" t="inlineStr">
        <is>
          <t>功能测试通过/正确率100%</t>
        </is>
      </c>
      <c r="G123" s="25" t="inlineStr">
        <is>
          <t>中</t>
        </is>
      </c>
      <c r="H123" s="14" t="n">
        <v>20</v>
      </c>
    </row>
    <row r="124" ht="20" customHeight="1">
      <c r="A124" s="30" t="inlineStr">
        <is>
          <t>【P3】 做市商系统  (Market Making)</t>
        </is>
      </c>
    </row>
    <row r="125" ht="28" customHeight="1">
      <c r="A125" s="17" t="inlineStr">
        <is>
          <t>做市商系统</t>
        </is>
      </c>
      <c r="B125" s="16" t="inlineStr">
        <is>
          <t>P3</t>
        </is>
      </c>
      <c r="C125" s="16" t="inlineStr">
        <is>
          <t>F15-01</t>
        </is>
      </c>
      <c r="D125" s="31" t="inlineStr">
        <is>
          <t>双边报价引擎</t>
        </is>
      </c>
      <c r="E125" s="17" t="inlineStr">
        <is>
          <t>多品种同时双边报价，延迟&lt;5ms，报价宽度动态优化</t>
        </is>
      </c>
      <c r="F125" s="17" t="inlineStr">
        <is>
          <t>p99延迟/误差率/精度验证/压测10k TPS</t>
        </is>
      </c>
      <c r="G125" s="27" t="inlineStr">
        <is>
          <t>极高</t>
        </is>
      </c>
      <c r="H125" s="19" t="n">
        <v>70</v>
      </c>
    </row>
    <row r="126" ht="28" customHeight="1">
      <c r="A126" s="17" t="inlineStr">
        <is>
          <t>做市商系统</t>
        </is>
      </c>
      <c r="B126" s="16" t="inlineStr">
        <is>
          <t>P3</t>
        </is>
      </c>
      <c r="C126" s="16" t="inlineStr">
        <is>
          <t>F15-02</t>
        </is>
      </c>
      <c r="D126" s="31" t="inlineStr">
        <is>
          <t>库存风险实时管理</t>
        </is>
      </c>
      <c r="E126" s="17" t="inlineStr">
        <is>
          <t>做市库存PnL实时监控，Delta对冲自动触发</t>
        </is>
      </c>
      <c r="F126" s="17" t="inlineStr">
        <is>
          <t>p99延迟/误差率/精度验证/压测10k TPS</t>
        </is>
      </c>
      <c r="G126" s="27" t="inlineStr">
        <is>
          <t>极高</t>
        </is>
      </c>
      <c r="H126" s="19" t="n">
        <v>60</v>
      </c>
    </row>
    <row r="127" ht="28" customHeight="1">
      <c r="A127" s="17" t="inlineStr">
        <is>
          <t>做市商系统</t>
        </is>
      </c>
      <c r="B127" s="16" t="inlineStr">
        <is>
          <t>P3</t>
        </is>
      </c>
      <c r="C127" s="16" t="inlineStr">
        <is>
          <t>F15-03</t>
        </is>
      </c>
      <c r="D127" s="31" t="inlineStr">
        <is>
          <t>报价优化算法</t>
        </is>
      </c>
      <c r="E127" s="17" t="inlineStr">
        <is>
          <t>基于市场微结构理论动态调整bid-ask spread</t>
        </is>
      </c>
      <c r="F127" s="17" t="inlineStr">
        <is>
          <t>p99延迟/误差率/精度验证/压测10k TPS</t>
        </is>
      </c>
      <c r="G127" s="27" t="inlineStr">
        <is>
          <t>极高</t>
        </is>
      </c>
      <c r="H127" s="19" t="n">
        <v>50</v>
      </c>
    </row>
    <row r="128" ht="28" customHeight="1">
      <c r="A128" s="17" t="inlineStr">
        <is>
          <t>做市商系统</t>
        </is>
      </c>
      <c r="B128" s="16" t="inlineStr">
        <is>
          <t>P3</t>
        </is>
      </c>
      <c r="C128" s="16" t="inlineStr">
        <is>
          <t>F15-04</t>
        </is>
      </c>
      <c r="D128" s="31" t="inlineStr">
        <is>
          <t>竞争力分析</t>
        </is>
      </c>
      <c r="E128" s="17" t="inlineStr">
        <is>
          <t>与市场最优报价对比，中签率分析，策略调优</t>
        </is>
      </c>
      <c r="F128" s="17" t="inlineStr">
        <is>
          <t>功能完整/边界测试/集成冒烟/性能基线</t>
        </is>
      </c>
      <c r="G128" s="24" t="inlineStr">
        <is>
          <t>高</t>
        </is>
      </c>
      <c r="H128" s="19" t="n">
        <v>25</v>
      </c>
    </row>
    <row r="129" ht="28" customHeight="1">
      <c r="A129" s="17" t="inlineStr">
        <is>
          <t>做市商系统</t>
        </is>
      </c>
      <c r="B129" s="16" t="inlineStr">
        <is>
          <t>P3</t>
        </is>
      </c>
      <c r="C129" s="16" t="inlineStr">
        <is>
          <t>F15-05</t>
        </is>
      </c>
      <c r="D129" s="31" t="inlineStr">
        <is>
          <t>交易对手管理集成</t>
        </is>
      </c>
      <c r="E129" s="17" t="inlineStr">
        <is>
          <t>做市交易对手信用实时检查，额度占用同步更新</t>
        </is>
      </c>
      <c r="F129" s="17" t="inlineStr">
        <is>
          <t>功能测试通过/正确率100%</t>
        </is>
      </c>
      <c r="G129" s="25" t="inlineStr">
        <is>
          <t>中</t>
        </is>
      </c>
      <c r="H129" s="19" t="n">
        <v>20</v>
      </c>
    </row>
    <row r="130" ht="20" customHeight="1">
      <c r="A130" s="30" t="inlineStr">
        <is>
          <t>【P3】 外汇/外汇衍生品  (FX &amp; FX Derivatives)</t>
        </is>
      </c>
    </row>
    <row r="131" ht="28" customHeight="1">
      <c r="A131" s="17" t="inlineStr">
        <is>
          <t>外汇/外汇衍生品</t>
        </is>
      </c>
      <c r="B131" s="16" t="inlineStr">
        <is>
          <t>P3</t>
        </is>
      </c>
      <c r="C131" s="16" t="inlineStr">
        <is>
          <t>F16-01</t>
        </is>
      </c>
      <c r="D131" s="31" t="inlineStr">
        <is>
          <t>即期/远期报价</t>
        </is>
      </c>
      <c r="E131" s="17" t="inlineStr">
        <is>
          <t>USD/CNY等主要货币对即期汇率+远期点数报价</t>
        </is>
      </c>
      <c r="F131" s="17" t="inlineStr">
        <is>
          <t>功能完整/边界测试/集成冒烟/性能基线</t>
        </is>
      </c>
      <c r="G131" s="24" t="inlineStr">
        <is>
          <t>高</t>
        </is>
      </c>
      <c r="H131" s="19" t="n">
        <v>40</v>
      </c>
    </row>
    <row r="132" ht="28" customHeight="1">
      <c r="A132" s="17" t="inlineStr">
        <is>
          <t>外汇/外汇衍生品</t>
        </is>
      </c>
      <c r="B132" s="16" t="inlineStr">
        <is>
          <t>P3</t>
        </is>
      </c>
      <c r="C132" s="16" t="inlineStr">
        <is>
          <t>F16-02</t>
        </is>
      </c>
      <c r="D132" s="31" t="inlineStr">
        <is>
          <t>外汇期权（FXO）</t>
        </is>
      </c>
      <c r="E132" s="17" t="inlineStr">
        <is>
          <t>欧式/美式FXO定价（Garman-Kohlhagen），Greeks</t>
        </is>
      </c>
      <c r="F132" s="17" t="inlineStr">
        <is>
          <t>p99延迟/误差率/精度验证/压测10k TPS</t>
        </is>
      </c>
      <c r="G132" s="27" t="inlineStr">
        <is>
          <t>极高</t>
        </is>
      </c>
      <c r="H132" s="19" t="n">
        <v>60</v>
      </c>
    </row>
    <row r="133" ht="28" customHeight="1">
      <c r="A133" s="17" t="inlineStr">
        <is>
          <t>外汇/外汇衍生品</t>
        </is>
      </c>
      <c r="B133" s="16" t="inlineStr">
        <is>
          <t>P3</t>
        </is>
      </c>
      <c r="C133" s="16" t="inlineStr">
        <is>
          <t>F16-03</t>
        </is>
      </c>
      <c r="D133" s="31" t="inlineStr">
        <is>
          <t>NDF/NDO定价</t>
        </is>
      </c>
      <c r="E133" s="17" t="inlineStr">
        <is>
          <t>不可交割远期/期权定价，境外对手对接</t>
        </is>
      </c>
      <c r="F133" s="17" t="inlineStr">
        <is>
          <t>p99延迟/误差率/精度验证/压测10k TPS</t>
        </is>
      </c>
      <c r="G133" s="27" t="inlineStr">
        <is>
          <t>极高</t>
        </is>
      </c>
      <c r="H133" s="19" t="n">
        <v>50</v>
      </c>
    </row>
    <row r="134" ht="28" customHeight="1">
      <c r="A134" s="17" t="inlineStr">
        <is>
          <t>外汇/外汇衍生品</t>
        </is>
      </c>
      <c r="B134" s="16" t="inlineStr">
        <is>
          <t>P3</t>
        </is>
      </c>
      <c r="C134" s="16" t="inlineStr">
        <is>
          <t>F16-04</t>
        </is>
      </c>
      <c r="D134" s="31" t="inlineStr">
        <is>
          <t>跨货币敞口汇总</t>
        </is>
      </c>
      <c r="E134" s="17" t="inlineStr">
        <is>
          <t>多币种资产折算人民币敞口，汇率风险VaR</t>
        </is>
      </c>
      <c r="F134" s="17" t="inlineStr">
        <is>
          <t>功能完整/边界测试/集成冒烟/性能基线</t>
        </is>
      </c>
      <c r="G134" s="24" t="inlineStr">
        <is>
          <t>高</t>
        </is>
      </c>
      <c r="H134" s="19" t="n">
        <v>30</v>
      </c>
    </row>
    <row r="135" ht="28" customHeight="1">
      <c r="A135" s="17" t="inlineStr">
        <is>
          <t>外汇/外汇衍生品</t>
        </is>
      </c>
      <c r="B135" s="16" t="inlineStr">
        <is>
          <t>P3</t>
        </is>
      </c>
      <c r="C135" s="16" t="inlineStr">
        <is>
          <t>F16-05</t>
        </is>
      </c>
      <c r="D135" s="31" t="inlineStr">
        <is>
          <t>CFETS/外汇局接口</t>
        </is>
      </c>
      <c r="E135" s="17" t="inlineStr">
        <is>
          <t>银行间外汇市场CFETS接口，外汇局合规报送</t>
        </is>
      </c>
      <c r="F135" s="17" t="inlineStr">
        <is>
          <t>功能完整/边界测试/集成冒烟/性能基线</t>
        </is>
      </c>
      <c r="G135" s="24" t="inlineStr">
        <is>
          <t>高</t>
        </is>
      </c>
      <c r="H135" s="19" t="n">
        <v>35</v>
      </c>
    </row>
    <row r="136">
      <c r="A136" s="20" t="inlineStr">
        <is>
          <t>总计功能数 / Total Function Points</t>
        </is>
      </c>
      <c r="H136" s="21">
        <f>SUM(H3:H135)</f>
        <v/>
      </c>
    </row>
  </sheetData>
  <mergeCells count="18">
    <mergeCell ref="A94:H94"/>
    <mergeCell ref="A100:H100"/>
    <mergeCell ref="A3:H3"/>
    <mergeCell ref="A106:H106"/>
    <mergeCell ref="A124:H124"/>
    <mergeCell ref="A130:H130"/>
    <mergeCell ref="A87:H87"/>
    <mergeCell ref="A57:H57"/>
    <mergeCell ref="A38:H38"/>
    <mergeCell ref="A81:H81"/>
    <mergeCell ref="A51:H51"/>
    <mergeCell ref="A63:H63"/>
    <mergeCell ref="A136:G136"/>
    <mergeCell ref="A112:H112"/>
    <mergeCell ref="A44:H44"/>
    <mergeCell ref="A118:H118"/>
    <mergeCell ref="A1:H1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2" t="inlineStr">
        <is>
          <t>岗位</t>
        </is>
      </c>
      <c r="B2" s="32" t="inlineStr">
        <is>
          <t>职责说明</t>
        </is>
      </c>
      <c r="C2" s="32" t="inlineStr">
        <is>
          <t>Phase 1（M1-M10）
P1模块 — 核心平台建设</t>
        </is>
      </c>
      <c r="F2" s="32" t="inlineStr">
        <is>
          <t>Phase 2（M11-M20）
P2模块 — 能力扩展</t>
        </is>
      </c>
      <c r="I2" s="32" t="inlineStr">
        <is>
          <t>Phase 3（M21-M27）
P3模块 — 战略深水区</t>
        </is>
      </c>
      <c r="L2" s="32" t="inlineStr">
        <is>
          <t>总招募
峰值人力</t>
        </is>
      </c>
    </row>
    <row r="3" ht="20" customHeight="1">
      <c r="C3" s="27" t="inlineStr">
        <is>
          <t>招募(人)</t>
        </is>
      </c>
      <c r="D3" s="27" t="inlineStr">
        <is>
          <t>工期(月)</t>
        </is>
      </c>
      <c r="E3" s="27" t="inlineStr">
        <is>
          <t>人月</t>
        </is>
      </c>
      <c r="F3" s="27" t="inlineStr">
        <is>
          <t>招募(人)</t>
        </is>
      </c>
      <c r="G3" s="27" t="inlineStr">
        <is>
          <t>工期(月)</t>
        </is>
      </c>
      <c r="H3" s="27" t="inlineStr">
        <is>
          <t>人月</t>
        </is>
      </c>
      <c r="I3" s="27" t="inlineStr">
        <is>
          <t>招募(人)</t>
        </is>
      </c>
      <c r="J3" s="27" t="inlineStr">
        <is>
          <t>工期(月)</t>
        </is>
      </c>
      <c r="K3" s="27" t="inlineStr">
        <is>
          <t>人月</t>
        </is>
      </c>
    </row>
    <row r="4" ht="32" customHeight="1">
      <c r="A4" s="29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4" t="n">
        <v>2</v>
      </c>
      <c r="D4" s="10" t="n">
        <v>10</v>
      </c>
      <c r="E4" s="10">
        <f>C4*D4</f>
        <v/>
      </c>
      <c r="F4" s="14" t="n">
        <v>2</v>
      </c>
      <c r="G4" s="10" t="n">
        <v>10</v>
      </c>
      <c r="H4" s="10">
        <f>F4*G4</f>
        <v/>
      </c>
      <c r="I4" s="14" t="n">
        <v>1</v>
      </c>
      <c r="J4" s="10" t="n">
        <v>7</v>
      </c>
      <c r="K4" s="10">
        <f>I4*J4</f>
        <v/>
      </c>
      <c r="L4" s="33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4">
        <f>MAX(C5,F5,I5)</f>
        <v/>
      </c>
    </row>
    <row r="6" ht="32" customHeight="1">
      <c r="A6" s="29" t="inlineStr">
        <is>
          <t>量化研究员
Quant Researcher</t>
        </is>
      </c>
      <c r="B6" s="11" t="inlineStr">
        <is>
          <t>定价模型、风险计量、因子模型，Python/C++</t>
        </is>
      </c>
      <c r="C6" s="14" t="n">
        <v>6</v>
      </c>
      <c r="D6" s="10" t="n">
        <v>10</v>
      </c>
      <c r="E6" s="10">
        <f>C6*D6</f>
        <v/>
      </c>
      <c r="F6" s="14" t="n">
        <v>8</v>
      </c>
      <c r="G6" s="10" t="n">
        <v>10</v>
      </c>
      <c r="H6" s="10">
        <f>F6*G6</f>
        <v/>
      </c>
      <c r="I6" s="14" t="n">
        <v>4</v>
      </c>
      <c r="J6" s="10" t="n">
        <v>7</v>
      </c>
      <c r="K6" s="10">
        <f>I6*J6</f>
        <v/>
      </c>
      <c r="L6" s="33">
        <f>MAX(C6,F6,I6)</f>
        <v/>
      </c>
    </row>
    <row r="7" ht="32" customHeight="1">
      <c r="A7" s="29" t="inlineStr">
        <is>
          <t>前端研发工程师
Frontend Engineer</t>
        </is>
      </c>
      <c r="B7" s="11" t="inlineStr">
        <is>
          <t>交易终端UI，React/Vue，实时数据展示</t>
        </is>
      </c>
      <c r="C7" s="14" t="n">
        <v>4</v>
      </c>
      <c r="D7" s="10" t="n">
        <v>10</v>
      </c>
      <c r="E7" s="10">
        <f>C7*D7</f>
        <v/>
      </c>
      <c r="F7" s="14" t="n">
        <v>6</v>
      </c>
      <c r="G7" s="10" t="n">
        <v>10</v>
      </c>
      <c r="H7" s="10">
        <f>F7*G7</f>
        <v/>
      </c>
      <c r="I7" s="14" t="n">
        <v>3</v>
      </c>
      <c r="J7" s="10" t="n">
        <v>7</v>
      </c>
      <c r="K7" s="10">
        <f>I7*J7</f>
        <v/>
      </c>
      <c r="L7" s="33">
        <f>MAX(C7,F7,I7)</f>
        <v/>
      </c>
    </row>
    <row r="8" ht="32" customHeight="1">
      <c r="A8" s="29" t="inlineStr">
        <is>
          <t>数据工程师
Data Engineer</t>
        </is>
      </c>
      <c r="B8" s="11" t="inlineStr">
        <is>
          <t>行情接入、数据管道、历史数据仓库</t>
        </is>
      </c>
      <c r="C8" s="14" t="n">
        <v>3</v>
      </c>
      <c r="D8" s="10" t="n">
        <v>10</v>
      </c>
      <c r="E8" s="10">
        <f>C8*D8</f>
        <v/>
      </c>
      <c r="F8" s="14" t="n">
        <v>4</v>
      </c>
      <c r="G8" s="10" t="n">
        <v>10</v>
      </c>
      <c r="H8" s="10">
        <f>F8*G8</f>
        <v/>
      </c>
      <c r="I8" s="14" t="n">
        <v>2</v>
      </c>
      <c r="J8" s="10" t="n">
        <v>7</v>
      </c>
      <c r="K8" s="10">
        <f>I8*J8</f>
        <v/>
      </c>
      <c r="L8" s="33">
        <f>MAX(C8,F8,I8)</f>
        <v/>
      </c>
    </row>
    <row r="9" ht="32" customHeight="1">
      <c r="A9" s="29" t="inlineStr">
        <is>
          <t>测试工程师
QA Engineer</t>
        </is>
      </c>
      <c r="B9" s="11" t="inlineStr">
        <is>
          <t>自动化测试，压测，合规验证</t>
        </is>
      </c>
      <c r="C9" s="14" t="n">
        <v>4</v>
      </c>
      <c r="D9" s="10" t="n">
        <v>10</v>
      </c>
      <c r="E9" s="10">
        <f>C9*D9</f>
        <v/>
      </c>
      <c r="F9" s="14" t="n">
        <v>6</v>
      </c>
      <c r="G9" s="10" t="n">
        <v>10</v>
      </c>
      <c r="H9" s="10">
        <f>F9*G9</f>
        <v/>
      </c>
      <c r="I9" s="14" t="n">
        <v>3</v>
      </c>
      <c r="J9" s="10" t="n">
        <v>7</v>
      </c>
      <c r="K9" s="10">
        <f>I9*J9</f>
        <v/>
      </c>
      <c r="L9" s="33">
        <f>MAX(C9,F9,I9)</f>
        <v/>
      </c>
    </row>
    <row r="10" ht="32" customHeight="1">
      <c r="A10" s="29" t="inlineStr">
        <is>
          <t>产品经理/BA
Product Manager / BA</t>
        </is>
      </c>
      <c r="B10" s="11" t="inlineStr">
        <is>
          <t>需求梳理、验收标准、客户沟通</t>
        </is>
      </c>
      <c r="C10" s="14" t="n">
        <v>3</v>
      </c>
      <c r="D10" s="10" t="n">
        <v>10</v>
      </c>
      <c r="E10" s="10">
        <f>C10*D10</f>
        <v/>
      </c>
      <c r="F10" s="14" t="n">
        <v>3</v>
      </c>
      <c r="G10" s="10" t="n">
        <v>10</v>
      </c>
      <c r="H10" s="10">
        <f>F10*G10</f>
        <v/>
      </c>
      <c r="I10" s="14" t="n">
        <v>2</v>
      </c>
      <c r="J10" s="10" t="n">
        <v>7</v>
      </c>
      <c r="K10" s="10">
        <f>I10*J10</f>
        <v/>
      </c>
      <c r="L10" s="33">
        <f>MAX(C10,F10,I10)</f>
        <v/>
      </c>
    </row>
    <row r="11" ht="32" customHeight="1">
      <c r="A11" s="29" t="inlineStr">
        <is>
          <t>DevOps/基础设施
DevOps / Infra</t>
        </is>
      </c>
      <c r="B11" s="11" t="inlineStr">
        <is>
          <t>信创部署、K8s、监控告警体系</t>
        </is>
      </c>
      <c r="C11" s="14" t="n">
        <v>2</v>
      </c>
      <c r="D11" s="10" t="n">
        <v>10</v>
      </c>
      <c r="E11" s="10">
        <f>C11*D11</f>
        <v/>
      </c>
      <c r="F11" s="14" t="n">
        <v>3</v>
      </c>
      <c r="G11" s="10" t="n">
        <v>10</v>
      </c>
      <c r="H11" s="10">
        <f>F11*G11</f>
        <v/>
      </c>
      <c r="I11" s="14" t="n">
        <v>2</v>
      </c>
      <c r="J11" s="10" t="n">
        <v>7</v>
      </c>
      <c r="K11" s="10">
        <f>I11*J11</f>
        <v/>
      </c>
      <c r="L11" s="33">
        <f>MAX(C11,F11,I11)</f>
        <v/>
      </c>
    </row>
    <row r="12" ht="32" customHeight="1">
      <c r="A12" s="29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4" t="n">
        <v>1</v>
      </c>
      <c r="D12" s="10" t="n">
        <v>10</v>
      </c>
      <c r="E12" s="10">
        <f>C12*D12</f>
        <v/>
      </c>
      <c r="F12" s="14" t="n">
        <v>2</v>
      </c>
      <c r="G12" s="10" t="n">
        <v>10</v>
      </c>
      <c r="H12" s="10">
        <f>F12*G12</f>
        <v/>
      </c>
      <c r="I12" s="14" t="n">
        <v>1</v>
      </c>
      <c r="J12" s="10" t="n">
        <v>7</v>
      </c>
      <c r="K12" s="10">
        <f>I12*J12</f>
        <v/>
      </c>
      <c r="L12" s="33">
        <f>MAX(C12,F12,I12)</f>
        <v/>
      </c>
    </row>
    <row r="13">
      <c r="A13" s="20" t="inlineStr">
        <is>
          <t>合计 Totals</t>
        </is>
      </c>
      <c r="C13" s="21">
        <f>SUM(C4:C12)</f>
        <v/>
      </c>
      <c r="D13" s="35" t="inlineStr"/>
      <c r="E13" s="35" t="inlineStr"/>
      <c r="F13" s="21">
        <f>SUM(F4:F12)</f>
        <v/>
      </c>
      <c r="G13" s="35" t="inlineStr"/>
      <c r="H13" s="35" t="inlineStr"/>
      <c r="I13" s="21">
        <f>SUM(I4:I12)</f>
        <v/>
      </c>
      <c r="J13" s="35" t="inlineStr"/>
      <c r="K13" s="35" t="inlineStr"/>
      <c r="L13" s="21">
        <f>SUM(L4:L12)</f>
        <v/>
      </c>
    </row>
    <row r="15" ht="40" customHeight="1">
      <c r="A15" s="36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7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6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7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5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7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7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回购管理</t>
        </is>
      </c>
      <c r="B7" s="6" t="inlineStr">
        <is>
          <t>M3</t>
        </is>
      </c>
      <c r="C7" s="5" t="inlineStr">
        <is>
          <t>上线：正回购全周期，质押替换</t>
        </is>
      </c>
      <c r="D7" s="5" t="inlineStr">
        <is>
          <t>某券商质押式回购融资管理</t>
        </is>
      </c>
      <c r="E7" s="37" t="inlineStr">
        <is>
          <t>中登/上清所接口联调</t>
        </is>
      </c>
      <c r="F7" s="5" t="inlineStr">
        <is>
          <t>建立完整沙箱测试套件</t>
        </is>
      </c>
      <c r="G7" s="3" t="inlineStr">
        <is>
          <t>交易系统组</t>
        </is>
      </c>
      <c r="H7" s="8" t="n">
        <v>5</v>
      </c>
      <c r="I7" s="8" t="n">
        <v>6</v>
      </c>
      <c r="J7" s="4" t="inlineStr">
        <is>
          <t>与现券交易捆绑，提升粘性</t>
        </is>
      </c>
    </row>
    <row r="8" ht="44" customHeight="1">
      <c r="A8" s="4" t="inlineStr">
        <is>
          <t>6. FICC风险计量平台</t>
        </is>
      </c>
      <c r="B8" s="6" t="inlineStr">
        <is>
          <t>M3</t>
        </is>
      </c>
      <c r="C8" s="5" t="inlineStr">
        <is>
          <t>上线：VaR/压测，监管格式报告</t>
        </is>
      </c>
      <c r="D8" s="5" t="inlineStr">
        <is>
          <t>某券商FICC组合风险日报</t>
        </is>
      </c>
      <c r="E8" s="37" t="inlineStr">
        <is>
          <t>模型精度vs衡泰基准</t>
        </is>
      </c>
      <c r="F8" s="5" t="inlineStr">
        <is>
          <t>首期仅VaR/ES，CVA后置</t>
        </is>
      </c>
      <c r="G8" s="3" t="inlineStr">
        <is>
          <t>风控平台组</t>
        </is>
      </c>
      <c r="H8" s="8" t="n">
        <v>10</v>
      </c>
      <c r="I8" s="8" t="n">
        <v>10</v>
      </c>
      <c r="J8" s="4" t="inlineStr">
        <is>
          <t>直接替代衡泰，高溢价定价</t>
        </is>
      </c>
    </row>
    <row r="9" ht="44" customHeight="1">
      <c r="A9" s="4" t="inlineStr">
        <is>
          <t>7. 组合管理+绩效归因</t>
        </is>
      </c>
      <c r="B9" s="6" t="inlineStr">
        <is>
          <t>M4</t>
        </is>
      </c>
      <c r="C9" s="5" t="inlineStr">
        <is>
          <t>上线：Brinson归因，周报自动生成</t>
        </is>
      </c>
      <c r="D9" s="5" t="inlineStr">
        <is>
          <t>资管公司固收组合绩效分析</t>
        </is>
      </c>
      <c r="E9" s="37" t="inlineStr">
        <is>
          <t>Brinson模型精度验证</t>
        </is>
      </c>
      <c r="F9" s="5" t="inlineStr">
        <is>
          <t>对标Bloomberg绩效分析基准</t>
        </is>
      </c>
      <c r="G9" s="3" t="inlineStr">
        <is>
          <t>投资管理组</t>
        </is>
      </c>
      <c r="H9" s="8" t="n">
        <v>12</v>
      </c>
      <c r="I9" s="8" t="n">
        <v>12</v>
      </c>
      <c r="J9" s="4" t="inlineStr">
        <is>
          <t>高端客户差异化，替代SimCorp/衡泰</t>
        </is>
      </c>
    </row>
    <row r="10" ht="44" customHeight="1">
      <c r="A10" s="4" t="inlineStr">
        <is>
          <t>8. 策略投资/量化</t>
        </is>
      </c>
      <c r="B10" s="6" t="inlineStr">
        <is>
          <t>M5</t>
        </is>
      </c>
      <c r="C10" s="5" t="inlineStr">
        <is>
          <t>上线：回测引擎，3个策略实盘验证</t>
        </is>
      </c>
      <c r="D10" s="5" t="inlineStr">
        <is>
          <t>自营量化部门策略回测平台</t>
        </is>
      </c>
      <c r="E10" s="37" t="inlineStr">
        <is>
          <t>Tick回测数据质量</t>
        </is>
      </c>
      <c r="F10" s="5" t="inlineStr">
        <is>
          <t>先与AMD行情平台深度整合</t>
        </is>
      </c>
      <c r="G10" s="3" t="inlineStr">
        <is>
          <t>量化研究组</t>
        </is>
      </c>
      <c r="H10" s="8" t="n">
        <v>10</v>
      </c>
      <c r="I10" s="8" t="n">
        <v>12</v>
      </c>
      <c r="J10" s="4" t="inlineStr">
        <is>
          <t>高壁垒护城河，未来SaaS化</t>
        </is>
      </c>
    </row>
    <row r="12" ht="52" customHeight="1">
      <c r="A12" s="38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2:J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9" t="inlineStr">
        <is>
          <t>系统详情：IBOR投资账薄管理  |  IBOR</t>
        </is>
      </c>
    </row>
    <row r="2" ht="36" customHeight="1">
      <c r="A2" s="40" t="inlineStr">
        <is>
          <t>战略定位：整个FICC平台的账薄主干，27项功能覆盖持仓/现金/估值/事件/对账/合规/试算全链路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1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3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2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3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3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3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9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3" t="inlineStr">
        <is>
          <t>中</t>
        </is>
      </c>
      <c r="H10" s="14" t="n">
        <v>20</v>
      </c>
      <c r="I10" s="12" t="inlineStr">
        <is>
          <t>P2</t>
        </is>
      </c>
      <c r="J10" s="11" t="inlineStr"/>
    </row>
    <row r="11" ht="18" customHeight="1">
      <c r="A11" s="41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2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2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9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3" t="inlineStr">
        <is>
          <t>中</t>
        </is>
      </c>
      <c r="H14" s="14" t="n">
        <v>20</v>
      </c>
      <c r="I14" s="12" t="inlineStr">
        <is>
          <t>P2</t>
        </is>
      </c>
      <c r="J14" s="11" t="inlineStr"/>
    </row>
    <row r="15" ht="18" customHeight="1">
      <c r="A15" s="44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2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3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2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4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2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2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9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3" t="inlineStr">
        <is>
          <t>中</t>
        </is>
      </c>
      <c r="H22" s="14" t="n">
        <v>20</v>
      </c>
      <c r="I22" s="12" t="inlineStr">
        <is>
          <t>P2</t>
        </is>
      </c>
      <c r="J22" s="11" t="inlineStr"/>
    </row>
    <row r="23" ht="18" customHeight="1">
      <c r="A23" s="30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2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3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3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5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2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3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3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2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3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3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1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2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2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3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2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2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1" t="inlineStr">
        <is>
          <t>合计 27项功能  |  P1: 24项  |  P2: 3项</t>
        </is>
      </c>
      <c r="H40" s="21">
        <f>SUM(H5:H39)</f>
        <v/>
      </c>
      <c r="I40" s="35" t="inlineStr"/>
      <c r="J40" s="35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9" t="inlineStr">
        <is>
          <t>系统详情：组合管理+绩效归因  |  Portfolio Mgmt &amp; Perf</t>
        </is>
      </c>
    </row>
    <row r="2" ht="36" customHeight="1">
      <c r="A2" s="40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1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3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2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2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3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1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2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2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2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4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3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2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4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2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2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9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2" t="inlineStr">
        <is>
          <t>高</t>
        </is>
      </c>
      <c r="H19" s="14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9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2" t="inlineStr">
        <is>
          <t>高</t>
        </is>
      </c>
      <c r="H20" s="14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9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2" t="inlineStr">
        <is>
          <t>高</t>
        </is>
      </c>
      <c r="H21" s="14" t="n">
        <v>35</v>
      </c>
      <c r="I21" s="12" t="inlineStr">
        <is>
          <t>P2</t>
        </is>
      </c>
      <c r="J21" s="11" t="inlineStr"/>
    </row>
    <row r="22" ht="18" customHeight="1">
      <c r="A22" s="30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3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5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9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2" t="inlineStr">
        <is>
          <t>高</t>
        </is>
      </c>
      <c r="H25" s="14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3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2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1" t="inlineStr">
        <is>
          <t>合计 17项功能  |  P1: 13项  |  P2: 4项</t>
        </is>
      </c>
      <c r="H28" s="21">
        <f>SUM(H5:H27)</f>
        <v/>
      </c>
      <c r="I28" s="35" t="inlineStr"/>
      <c r="J28" s="35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2026-04-29T09:59:19Z</dcterms:created>
  <dcterms:modified xmlns:dcterms="http://purl.org/dc/terms/" xmlns:xsi="http://www.w3.org/2001/XMLSchema-instance" xsi:type="dcterms:W3CDTF">2026-04-29T09:59:19Z</dcterms:modified>
</cp:coreProperties>
</file>