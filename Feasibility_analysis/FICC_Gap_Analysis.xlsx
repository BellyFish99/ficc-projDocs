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距分析总表" sheetId="1" state="visible" r:id="rId1"/>
    <sheet xmlns:r="http://schemas.openxmlformats.org/officeDocument/2006/relationships" name="关键功能清单" sheetId="2" state="visible" r:id="rId2"/>
    <sheet xmlns:r="http://schemas.openxmlformats.org/officeDocument/2006/relationships" name="资源规划" sheetId="3" state="visible" r:id="rId3"/>
    <sheet xmlns:r="http://schemas.openxmlformats.org/officeDocument/2006/relationships" name="P1优先启动计划" sheetId="4" state="visible" r:id="rId4"/>
    <sheet xmlns:r="http://schemas.openxmlformats.org/officeDocument/2006/relationships" name="详情_IBOR投资账薄管理" sheetId="5" state="visible" r:id="rId5"/>
    <sheet xmlns:r="http://schemas.openxmlformats.org/officeDocument/2006/relationships" name="详情_现券交易系统" sheetId="6" state="visible" r:id="rId6"/>
    <sheet xmlns:r="http://schemas.openxmlformats.org/officeDocument/2006/relationships" name="详情_FOF投资系统" sheetId="7" state="visible" r:id="rId7"/>
    <sheet xmlns:r="http://schemas.openxmlformats.org/officeDocument/2006/relationships" name="详情_FICC风险计量平台" sheetId="8" state="visible" r:id="rId8"/>
    <sheet xmlns:r="http://schemas.openxmlformats.org/officeDocument/2006/relationships" name="详情_异常交易风控" sheetId="9" state="visible" r:id="rId9"/>
    <sheet xmlns:r="http://schemas.openxmlformats.org/officeDocument/2006/relationships" name="详情_事前风控_合规" sheetId="10" state="visible" r:id="rId10"/>
    <sheet xmlns:r="http://schemas.openxmlformats.org/officeDocument/2006/relationships" name="详情_组合管理+绩效归因" sheetId="11" state="visible" r:id="rId11"/>
    <sheet xmlns:r="http://schemas.openxmlformats.org/officeDocument/2006/relationships" name="详情_策略投资_量化" sheetId="12" state="visible" r:id="rId12"/>
    <sheet xmlns:r="http://schemas.openxmlformats.org/officeDocument/2006/relationships" name="详情_定价平台" sheetId="13" state="visible" r:id="rId13"/>
    <sheet xmlns:r="http://schemas.openxmlformats.org/officeDocument/2006/relationships" name="详情_销售交易" sheetId="14" state="visible" r:id="rId14"/>
    <sheet xmlns:r="http://schemas.openxmlformats.org/officeDocument/2006/relationships" name="详情_信用债_信用衍生品" sheetId="15" state="visible" r:id="rId15"/>
    <sheet xmlns:r="http://schemas.openxmlformats.org/officeDocument/2006/relationships" name="详情_投顾服务" sheetId="16" state="visible" r:id="rId16"/>
    <sheet xmlns:r="http://schemas.openxmlformats.org/officeDocument/2006/relationships" name="详情_TRS收益互换" sheetId="17" state="visible" r:id="rId17"/>
    <sheet xmlns:r="http://schemas.openxmlformats.org/officeDocument/2006/relationships" name="详情_做市商系统" sheetId="18" state="visible" r:id="rId18"/>
  </sheets>
  <definedNames>
    <definedName name="_xlnm.Print_Area" localSheetId="0">'差距分析总表'!$A$1:$P$17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B3275"/>
      <sz val="10"/>
    </font>
    <font>
      <name val="Arial"/>
      <color rgb="000000FF"/>
      <sz val="10"/>
    </font>
    <font>
      <name val="Arial"/>
      <b val="1"/>
      <color rgb="00E53935"/>
      <sz val="10"/>
    </font>
    <font>
      <name val="Arial"/>
      <b val="1"/>
      <color rgb="00FFFFFF"/>
      <sz val="9"/>
    </font>
    <font>
      <name val="Arial"/>
      <b val="1"/>
      <color rgb="00E53935"/>
      <sz val="9"/>
    </font>
    <font>
      <name val="Arial"/>
      <b val="1"/>
      <color rgb="001B3275"/>
      <sz val="9"/>
    </font>
    <font>
      <name val="Arial"/>
      <i val="1"/>
      <color rgb="001B3275"/>
      <sz val="9"/>
    </font>
    <font>
      <name val="Arial"/>
      <color rgb="00E53935"/>
      <sz val="10"/>
    </font>
    <font>
      <name val="Arial"/>
      <b val="1"/>
      <color rgb="00FFFFFF"/>
      <sz val="13"/>
    </font>
    <font>
      <name val="Arial"/>
      <i val="1"/>
      <color rgb="001B3275"/>
      <sz val="10"/>
    </font>
  </fonts>
  <fills count="13">
    <fill>
      <patternFill/>
    </fill>
    <fill>
      <patternFill patternType="gray125"/>
    </fill>
    <fill>
      <patternFill patternType="solid">
        <fgColor rgb="000F2060"/>
      </patternFill>
    </fill>
    <fill>
      <patternFill patternType="solid">
        <fgColor rgb="00D6E4F7"/>
      </patternFill>
    </fill>
    <fill>
      <patternFill patternType="solid">
        <fgColor rgb="002B5EC7"/>
      </patternFill>
    </fill>
    <fill>
      <patternFill patternType="solid">
        <fgColor rgb="00EEF3FA"/>
      </patternFill>
    </fill>
    <fill>
      <patternFill patternType="solid">
        <fgColor rgb="00DAEEF3"/>
      </patternFill>
    </fill>
    <fill>
      <patternFill patternType="solid">
        <fgColor rgb="003B7DD8"/>
      </patternFill>
    </fill>
    <fill>
      <patternFill patternType="solid">
        <fgColor rgb="00FCE4D6"/>
      </patternFill>
    </fill>
    <fill>
      <patternFill patternType="solid">
        <fgColor rgb="00F8F8F8"/>
      </patternFill>
    </fill>
    <fill>
      <patternFill patternType="solid">
        <fgColor rgb="009DC3E6"/>
      </patternFill>
    </fill>
    <fill>
      <patternFill patternType="solid">
        <fgColor rgb="001B3275"/>
      </patternFill>
    </fill>
    <fill>
      <patternFill patternType="solid">
        <fgColor rgb="00F5F7FA"/>
      </patternFill>
    </fill>
  </fills>
  <borders count="4">
    <border>
      <left/>
      <right/>
      <top/>
      <bottom/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1B3275"/>
      </left>
      <right style="thin">
        <color rgb="001B3275"/>
      </right>
      <top style="thin">
        <color rgb="001B3275"/>
      </top>
      <bottom style="thin">
        <color rgb="001B3275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right" vertical="center" wrapText="1"/>
    </xf>
    <xf numFmtId="0" fontId="2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0" fillId="11" borderId="1" pivotButton="0" quotePrefix="0" xfId="0"/>
    <xf numFmtId="0" fontId="11" fillId="0" borderId="0" applyAlignment="1" pivotButton="0" quotePrefix="0" xfId="0">
      <alignment vertical="top" wrapText="1"/>
    </xf>
    <xf numFmtId="0" fontId="12" fillId="3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3" borderId="3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16" customWidth="1" min="11" max="11"/>
    <col width="18" customWidth="1" min="12" max="12"/>
    <col width="8" customWidth="1" min="13" max="13"/>
    <col width="8" customWidth="1" min="14" max="14"/>
    <col width="8" customWidth="1" min="15" max="15"/>
    <col width="30" customWidth="1" min="16" max="16"/>
  </cols>
  <sheetData>
    <row r="1" ht="22" customHeight="1">
      <c r="A1" s="1" t="inlineStr">
        <is>
          <t>FICC平台建设差距分析总表  —  华锐技术 / 2026</t>
        </is>
      </c>
    </row>
    <row r="2" ht="32" customHeight="1">
      <c r="A2" s="2" t="inlineStr">
        <is>
          <t>编号</t>
        </is>
      </c>
      <c r="B2" s="2" t="inlineStr">
        <is>
          <t>系统/模块</t>
        </is>
      </c>
      <c r="C2" s="2" t="inlineStr">
        <is>
          <t>English Name</t>
        </is>
      </c>
      <c r="D2" s="2" t="inlineStr">
        <is>
          <t>业务领域</t>
        </is>
      </c>
      <c r="E2" s="2" t="inlineStr">
        <is>
          <t>优先级</t>
        </is>
      </c>
      <c r="F2" s="2" t="inlineStr">
        <is>
          <t>市场需求
(1-5★)</t>
        </is>
      </c>
      <c r="G2" s="2" t="inlineStr">
        <is>
          <t>竞品强度
(1-5★)</t>
        </is>
      </c>
      <c r="H2" s="2" t="inlineStr">
        <is>
          <t>华锐现状
(L0-L5)</t>
        </is>
      </c>
      <c r="I2" s="2" t="inlineStr">
        <is>
          <t>目标状态
(L0-L5)</t>
        </is>
      </c>
      <c r="J2" s="2" t="inlineStr">
        <is>
          <t>建设差距</t>
        </is>
      </c>
      <c r="K2" s="2" t="inlineStr">
        <is>
          <t>主要竞品</t>
        </is>
      </c>
      <c r="L2" s="2" t="inlineStr">
        <is>
          <t>华锐基础</t>
        </is>
      </c>
      <c r="M2" s="2" t="inlineStr">
        <is>
          <t>工期
(月)</t>
        </is>
      </c>
      <c r="N2" s="2" t="inlineStr">
        <is>
          <t>团队
(人)</t>
        </is>
      </c>
      <c r="O2" s="2" t="inlineStr">
        <is>
          <t>人月
投入</t>
        </is>
      </c>
      <c r="P2" s="2" t="inlineStr">
        <is>
          <t>战略备注</t>
        </is>
      </c>
    </row>
    <row r="3" ht="28" customHeight="1">
      <c r="A3" s="3" t="n">
        <v>1</v>
      </c>
      <c r="B3" s="4" t="inlineStr">
        <is>
          <t>IBOR投资账薄管理</t>
        </is>
      </c>
      <c r="C3" s="5" t="inlineStr">
        <is>
          <t>IBOR</t>
        </is>
      </c>
      <c r="D3" s="5" t="inlineStr">
        <is>
          <t>前/中台基础设施</t>
        </is>
      </c>
      <c r="E3" s="6" t="inlineStr">
        <is>
          <t>P1</t>
        </is>
      </c>
      <c r="F3" s="3" t="inlineStr">
        <is>
          <t>★★★★★</t>
        </is>
      </c>
      <c r="G3" s="3" t="inlineStr">
        <is>
          <t>★★★☆☆</t>
        </is>
      </c>
      <c r="H3" s="3" t="inlineStr">
        <is>
          <t>L2</t>
        </is>
      </c>
      <c r="I3" s="3" t="inlineStr">
        <is>
          <t>L4</t>
        </is>
      </c>
      <c r="J3" s="7" t="inlineStr">
        <is>
          <t>中</t>
        </is>
      </c>
      <c r="K3" s="5" t="inlineStr">
        <is>
          <t>衡泰(老旧)</t>
        </is>
      </c>
      <c r="L3" s="5" t="inlineStr">
        <is>
          <t>AMI/AMDB账户体系</t>
        </is>
      </c>
      <c r="M3" s="3" t="n">
        <v>12</v>
      </c>
      <c r="N3" s="3" t="n">
        <v>14</v>
      </c>
      <c r="O3" s="8" t="n">
        <v>130</v>
      </c>
      <c r="P3" s="5" t="inlineStr">
        <is>
          <t>整个FICC平台的账薄主干，27项功能覆盖持仓/现金/估值/事件/对账/合规/试算全链路</t>
        </is>
      </c>
    </row>
    <row r="4" ht="28" customHeight="1">
      <c r="A4" s="3" t="n">
        <v>2</v>
      </c>
      <c r="B4" s="4" t="inlineStr">
        <is>
          <t>现券交易系统</t>
        </is>
      </c>
      <c r="C4" s="5" t="inlineStr">
        <is>
          <t>Bond Trading System</t>
        </is>
      </c>
      <c r="D4" s="5" t="inlineStr">
        <is>
          <t>前台交易</t>
        </is>
      </c>
      <c r="E4" s="6" t="inlineStr">
        <is>
          <t>P1</t>
        </is>
      </c>
      <c r="F4" s="3" t="inlineStr">
        <is>
          <t>★★★★★</t>
        </is>
      </c>
      <c r="G4" s="3" t="inlineStr">
        <is>
          <t>★★☆☆☆</t>
        </is>
      </c>
      <c r="H4" s="3" t="inlineStr">
        <is>
          <t>L3</t>
        </is>
      </c>
      <c r="I4" s="3" t="inlineStr">
        <is>
          <t>L4</t>
        </is>
      </c>
      <c r="J4" s="9" t="inlineStr">
        <is>
          <t>小</t>
        </is>
      </c>
      <c r="K4" s="5" t="inlineStr">
        <is>
          <t>恒生/金证</t>
        </is>
      </c>
      <c r="L4" s="5" t="inlineStr">
        <is>
          <t>ATP债券报盘引擎</t>
        </is>
      </c>
      <c r="M4" s="3" t="n">
        <v>6</v>
      </c>
      <c r="N4" s="3" t="n">
        <v>8</v>
      </c>
      <c r="O4" s="8" t="n">
        <v>42</v>
      </c>
      <c r="P4" s="5" t="inlineStr">
        <is>
          <t>银行间+交易所双市场统一订单模型，28项功能覆盖报价/订单/定价/风控/STP/做市/数据/分析全链路</t>
        </is>
      </c>
    </row>
    <row r="5" ht="28" customHeight="1">
      <c r="A5" s="10" t="n">
        <v>3</v>
      </c>
      <c r="B5" s="11" t="inlineStr">
        <is>
          <t>FOF投资系统</t>
        </is>
      </c>
      <c r="C5" s="11" t="inlineStr">
        <is>
          <t>FOF Investment System</t>
        </is>
      </c>
      <c r="D5" s="11" t="inlineStr">
        <is>
          <t>前台交易</t>
        </is>
      </c>
      <c r="E5" s="12" t="inlineStr">
        <is>
          <t>P2</t>
        </is>
      </c>
      <c r="F5" s="10" t="inlineStr">
        <is>
          <t>★★★☆☆</t>
        </is>
      </c>
      <c r="G5" s="10" t="inlineStr">
        <is>
          <t>★★☆☆☆</t>
        </is>
      </c>
      <c r="H5" s="10" t="inlineStr">
        <is>
          <t>L2</t>
        </is>
      </c>
      <c r="I5" s="10" t="inlineStr">
        <is>
          <t>L4</t>
        </is>
      </c>
      <c r="J5" s="7" t="inlineStr">
        <is>
          <t>中</t>
        </is>
      </c>
      <c r="K5" s="11" t="inlineStr">
        <is>
          <t>恒生/金证</t>
        </is>
      </c>
      <c r="L5" s="11" t="inlineStr">
        <is>
          <t>IBOR持仓账薄</t>
        </is>
      </c>
      <c r="M5" s="10" t="n">
        <v>4</v>
      </c>
      <c r="N5" s="10" t="n">
        <v>5</v>
      </c>
      <c r="O5" s="13" t="n">
        <v>18</v>
      </c>
      <c r="P5" s="11" t="inlineStr">
        <is>
          <t>基金/FOF投资业务系统化管理，覆盖基础信息、交易录入、组合风控全链路；对应PPT Slide 43</t>
        </is>
      </c>
    </row>
    <row r="6" ht="28" customHeight="1">
      <c r="A6" s="3" t="n">
        <v>4</v>
      </c>
      <c r="B6" s="4" t="inlineStr">
        <is>
          <t>FICC风险计量平台</t>
        </is>
      </c>
      <c r="C6" s="5" t="inlineStr">
        <is>
          <t>FICC Risk Measurement Platform</t>
        </is>
      </c>
      <c r="D6" s="5" t="inlineStr">
        <is>
          <t>中台风控</t>
        </is>
      </c>
      <c r="E6" s="6" t="inlineStr">
        <is>
          <t>P1</t>
        </is>
      </c>
      <c r="F6" s="3" t="inlineStr">
        <is>
          <t>★★★★★</t>
        </is>
      </c>
      <c r="G6" s="3" t="inlineStr">
        <is>
          <t>★★★★☆</t>
        </is>
      </c>
      <c r="H6" s="3" t="inlineStr">
        <is>
          <t>L2</t>
        </is>
      </c>
      <c r="I6" s="3" t="inlineStr">
        <is>
          <t>L4</t>
        </is>
      </c>
      <c r="J6" s="14" t="inlineStr">
        <is>
          <t>大</t>
        </is>
      </c>
      <c r="K6" s="5" t="inlineStr">
        <is>
          <t>衡泰(垄断)</t>
        </is>
      </c>
      <c r="L6" s="5" t="inlineStr">
        <is>
          <t>ARC风险引擎/IBOR</t>
        </is>
      </c>
      <c r="M6" s="3" t="n">
        <v>14</v>
      </c>
      <c r="N6" s="3" t="n">
        <v>12</v>
      </c>
      <c r="O6" s="8" t="n">
        <v>140</v>
      </c>
      <c r="P6" s="5" t="inlineStr">
        <is>
          <t>替代衡泰老旧系统，信创切入口；覆盖投前/投中/投后全生命周期风险管理；对应PPT Slide 52</t>
        </is>
      </c>
    </row>
    <row r="7" ht="28" customHeight="1">
      <c r="A7" s="3" t="n">
        <v>5</v>
      </c>
      <c r="B7" s="4" t="inlineStr">
        <is>
          <t>异常交易风控</t>
        </is>
      </c>
      <c r="C7" s="5" t="inlineStr">
        <is>
          <t>Abnormal Trade Monitor</t>
        </is>
      </c>
      <c r="D7" s="5" t="inlineStr">
        <is>
          <t>中台风控</t>
        </is>
      </c>
      <c r="E7" s="6" t="inlineStr">
        <is>
          <t>P1</t>
        </is>
      </c>
      <c r="F7" s="3" t="inlineStr">
        <is>
          <t>★★★★★</t>
        </is>
      </c>
      <c r="G7" s="3" t="inlineStr">
        <is>
          <t>★☆☆☆☆</t>
        </is>
      </c>
      <c r="H7" s="3" t="inlineStr">
        <is>
          <t>L3</t>
        </is>
      </c>
      <c r="I7" s="3" t="inlineStr">
        <is>
          <t>L5</t>
        </is>
      </c>
      <c r="J7" s="9" t="inlineStr">
        <is>
          <t>小</t>
        </is>
      </c>
      <c r="K7" s="5" t="inlineStr">
        <is>
          <t>无主导者</t>
        </is>
      </c>
      <c r="L7" s="5" t="inlineStr">
        <is>
          <t>ARC+AI规则引擎</t>
        </is>
      </c>
      <c r="M7" s="3" t="n">
        <v>8</v>
      </c>
      <c r="N7" s="3" t="n">
        <v>8</v>
      </c>
      <c r="O7" s="8" t="n">
        <v>55</v>
      </c>
      <c r="P7" s="5" t="inlineStr">
        <is>
          <t>监管驱动，AI差异化（LLM+RAG+Agent+MCP），快速商业化；对应PPT Slide 50</t>
        </is>
      </c>
    </row>
    <row r="8" ht="28" customHeight="1">
      <c r="A8" s="3" t="n">
        <v>6</v>
      </c>
      <c r="B8" s="4" t="inlineStr">
        <is>
          <t>事前风控/合规</t>
        </is>
      </c>
      <c r="C8" s="5" t="inlineStr">
        <is>
          <t>Pre-trade Risk &amp; Compliance</t>
        </is>
      </c>
      <c r="D8" s="5" t="inlineStr">
        <is>
          <t>中台风控</t>
        </is>
      </c>
      <c r="E8" s="6" t="inlineStr">
        <is>
          <t>P1</t>
        </is>
      </c>
      <c r="F8" s="3" t="inlineStr">
        <is>
          <t>★★★★★</t>
        </is>
      </c>
      <c r="G8" s="3" t="inlineStr">
        <is>
          <t>★★☆☆☆</t>
        </is>
      </c>
      <c r="H8" s="3" t="inlineStr">
        <is>
          <t>L3</t>
        </is>
      </c>
      <c r="I8" s="3" t="inlineStr">
        <is>
          <t>L4</t>
        </is>
      </c>
      <c r="J8" s="9" t="inlineStr">
        <is>
          <t>小</t>
        </is>
      </c>
      <c r="K8" s="5" t="inlineStr">
        <is>
          <t>恒生/金证</t>
        </is>
      </c>
      <c r="L8" s="5" t="inlineStr">
        <is>
          <t>ARC合规模块</t>
        </is>
      </c>
      <c r="M8" s="3" t="n">
        <v>6</v>
      </c>
      <c r="N8" s="3" t="n">
        <v>6</v>
      </c>
      <c r="O8" s="8" t="n">
        <v>32</v>
      </c>
      <c r="P8" s="5" t="inlineStr">
        <is>
          <t>嵌入交易前拦截，三端架构（风控/用户/管理），AI聊天合规监控为核心差异化；对应PPT Slide 51</t>
        </is>
      </c>
    </row>
    <row r="9" ht="28" customHeight="1">
      <c r="A9" s="3" t="n">
        <v>7</v>
      </c>
      <c r="B9" s="4" t="inlineStr">
        <is>
          <t>组合管理+绩效归因</t>
        </is>
      </c>
      <c r="C9" s="5" t="inlineStr">
        <is>
          <t>Portfolio Mgmt &amp; Perf</t>
        </is>
      </c>
      <c r="D9" s="5" t="inlineStr">
        <is>
          <t>前台投资管理</t>
        </is>
      </c>
      <c r="E9" s="6" t="inlineStr">
        <is>
          <t>P1</t>
        </is>
      </c>
      <c r="F9" s="3" t="inlineStr">
        <is>
          <t>★★★★★</t>
        </is>
      </c>
      <c r="G9" s="3" t="inlineStr">
        <is>
          <t>★★★☆☆</t>
        </is>
      </c>
      <c r="H9" s="3" t="inlineStr">
        <is>
          <t>L2</t>
        </is>
      </c>
      <c r="I9" s="3" t="inlineStr">
        <is>
          <t>L4</t>
        </is>
      </c>
      <c r="J9" s="7" t="inlineStr">
        <is>
          <t>中</t>
        </is>
      </c>
      <c r="K9" s="5" t="inlineStr">
        <is>
          <t>SimCorp/衡泰</t>
        </is>
      </c>
      <c r="L9" s="5" t="inlineStr">
        <is>
          <t>M9 PMS模块</t>
        </is>
      </c>
      <c r="M9" s="3" t="n">
        <v>14</v>
      </c>
      <c r="N9" s="3" t="n">
        <v>14</v>
      </c>
      <c r="O9" s="8" t="n">
        <v>160</v>
      </c>
      <c r="P9" s="5" t="inlineStr">
        <is>
          <t>全资产组合管理驾驶舱，十大核心能力：全资产持仓模型/QP优化/Shadow Portfolio/Campisi 2.0固收归因/Brinson归因/因子风险分解+MCTR/Component VaR/敏感度/情景压测/流动性；对应PPT Slide 44 + gy_solution 4.4.1</t>
        </is>
      </c>
    </row>
    <row r="10" ht="28" customHeight="1">
      <c r="A10" s="3" t="n">
        <v>8</v>
      </c>
      <c r="B10" s="4" t="inlineStr">
        <is>
          <t>策略投资/量化</t>
        </is>
      </c>
      <c r="C10" s="5" t="inlineStr">
        <is>
          <t>Quant Strategy</t>
        </is>
      </c>
      <c r="D10" s="5" t="inlineStr">
        <is>
          <t>前台投研</t>
        </is>
      </c>
      <c r="E10" s="6" t="inlineStr">
        <is>
          <t>P1</t>
        </is>
      </c>
      <c r="F10" s="3" t="inlineStr">
        <is>
          <t>★★★★☆</t>
        </is>
      </c>
      <c r="G10" s="3" t="inlineStr">
        <is>
          <t>★★☆☆☆</t>
        </is>
      </c>
      <c r="H10" s="3" t="inlineStr">
        <is>
          <t>L1</t>
        </is>
      </c>
      <c r="I10" s="3" t="inlineStr">
        <is>
          <t>L3</t>
        </is>
      </c>
      <c r="J10" s="7" t="inlineStr">
        <is>
          <t>中</t>
        </is>
      </c>
      <c r="K10" s="5" t="inlineStr">
        <is>
          <t>无主导者</t>
        </is>
      </c>
      <c r="L10" s="5" t="inlineStr">
        <is>
          <t>低延迟ATP执行层/定价平台</t>
        </is>
      </c>
      <c r="M10" s="3" t="n">
        <v>12</v>
      </c>
      <c r="N10" s="3" t="n">
        <v>12</v>
      </c>
      <c r="O10" s="8" t="n">
        <v>120</v>
      </c>
      <c r="P10" s="5" t="inlineStr">
        <is>
          <t>因子框架+回测引擎+模拟盘+AI辅助开发，覆盖利差/基差/跨市场套利等固收量化策略全流程；对应PPT Slide 41</t>
        </is>
      </c>
    </row>
    <row r="11" ht="28" customHeight="1">
      <c r="A11" s="10" t="n">
        <v>9</v>
      </c>
      <c r="B11" s="11" t="inlineStr">
        <is>
          <t>定价平台</t>
        </is>
      </c>
      <c r="C11" s="11" t="inlineStr">
        <is>
          <t>Pricing Platform</t>
        </is>
      </c>
      <c r="D11" s="11" t="inlineStr">
        <is>
          <t>中台定价</t>
        </is>
      </c>
      <c r="E11" s="12" t="inlineStr">
        <is>
          <t>P2</t>
        </is>
      </c>
      <c r="F11" s="10" t="inlineStr">
        <is>
          <t>★★★★★</t>
        </is>
      </c>
      <c r="G11" s="10" t="inlineStr">
        <is>
          <t>★★★★★</t>
        </is>
      </c>
      <c r="H11" s="10" t="inlineStr">
        <is>
          <t>L1</t>
        </is>
      </c>
      <c r="I11" s="10" t="inlineStr">
        <is>
          <t>L4</t>
        </is>
      </c>
      <c r="J11" s="14" t="inlineStr">
        <is>
          <t>大</t>
        </is>
      </c>
      <c r="K11" s="11" t="inlineStr">
        <is>
          <t>衡泰(垄断)</t>
        </is>
      </c>
      <c r="L11" s="11" t="inlineStr">
        <is>
          <t>ARC基础数值库</t>
        </is>
      </c>
      <c r="M11" s="10" t="n">
        <v>18</v>
      </c>
      <c r="N11" s="10" t="n">
        <v>15</v>
      </c>
      <c r="O11" s="13" t="n">
        <v>225</v>
      </c>
      <c r="P11" s="11" t="inlineStr">
        <is>
          <t>蒙特卡洛/有限差分，替代衡泰核心，覆盖权益/利率/大宗商品/外汇/衍生品全品种；对应PPT Slide 56</t>
        </is>
      </c>
    </row>
    <row r="12" ht="28" customHeight="1">
      <c r="A12" s="10" t="n">
        <v>10</v>
      </c>
      <c r="B12" s="11" t="inlineStr">
        <is>
          <t>销售交易</t>
        </is>
      </c>
      <c r="C12" s="11" t="inlineStr">
        <is>
          <t>Sales Trading</t>
        </is>
      </c>
      <c r="D12" s="11" t="inlineStr">
        <is>
          <t>客需业务</t>
        </is>
      </c>
      <c r="E12" s="12" t="inlineStr">
        <is>
          <t>P2</t>
        </is>
      </c>
      <c r="F12" s="10" t="inlineStr">
        <is>
          <t>★★★☆☆</t>
        </is>
      </c>
      <c r="G12" s="10" t="inlineStr">
        <is>
          <t>★★☆☆☆</t>
        </is>
      </c>
      <c r="H12" s="10" t="inlineStr">
        <is>
          <t>L1</t>
        </is>
      </c>
      <c r="I12" s="10" t="inlineStr">
        <is>
          <t>L3</t>
        </is>
      </c>
      <c r="J12" s="7" t="inlineStr">
        <is>
          <t>中</t>
        </is>
      </c>
      <c r="K12" s="11" t="inlineStr">
        <is>
          <t>金证/顶点</t>
        </is>
      </c>
      <c r="L12" s="11" t="inlineStr">
        <is>
          <t>现券交易系统/IBOR</t>
        </is>
      </c>
      <c r="M12" s="10" t="n">
        <v>5</v>
      </c>
      <c r="N12" s="10" t="n">
        <v>5</v>
      </c>
      <c r="O12" s="13" t="n">
        <v>20</v>
      </c>
      <c r="P12" s="11" t="inlineStr">
        <is>
          <t>面向对客服务的销售交易工作台，报价聚合、智能推荐、交易执行一体化；对应PPT Slide 47</t>
        </is>
      </c>
    </row>
    <row r="13" ht="28" customHeight="1">
      <c r="A13" s="10" t="n">
        <v>11</v>
      </c>
      <c r="B13" s="11" t="inlineStr">
        <is>
          <t>信用债/信用衍生品</t>
        </is>
      </c>
      <c r="C13" s="11" t="inlineStr">
        <is>
          <t>Credit Bond &amp; CDS</t>
        </is>
      </c>
      <c r="D13" s="11" t="inlineStr">
        <is>
          <t>前台交易</t>
        </is>
      </c>
      <c r="E13" s="12" t="inlineStr">
        <is>
          <t>P2</t>
        </is>
      </c>
      <c r="F13" s="10" t="inlineStr">
        <is>
          <t>★★★★☆</t>
        </is>
      </c>
      <c r="G13" s="10" t="inlineStr">
        <is>
          <t>★★★☆☆</t>
        </is>
      </c>
      <c r="H13" s="10" t="inlineStr">
        <is>
          <t>L2</t>
        </is>
      </c>
      <c r="I13" s="10" t="inlineStr">
        <is>
          <t>L4</t>
        </is>
      </c>
      <c r="J13" s="7" t="inlineStr">
        <is>
          <t>中</t>
        </is>
      </c>
      <c r="K13" s="11" t="inlineStr">
        <is>
          <t>衡泰/恒生</t>
        </is>
      </c>
      <c r="L13" s="11" t="inlineStr">
        <is>
          <t>IBOR持仓账薄/定价平台</t>
        </is>
      </c>
      <c r="M13" s="10" t="n">
        <v>8</v>
      </c>
      <c r="N13" s="10" t="n">
        <v>8</v>
      </c>
      <c r="O13" s="13" t="n">
        <v>55</v>
      </c>
      <c r="P13" s="11" t="inlineStr">
        <is>
          <t>信用评级/投资池/全生命周期信用风险管理，打通从评级审批到交易下单全链路；对应PPT Slide 42</t>
        </is>
      </c>
    </row>
    <row r="14" ht="28" customHeight="1">
      <c r="A14" s="10" t="n">
        <v>12</v>
      </c>
      <c r="B14" s="11" t="inlineStr">
        <is>
          <t>投顾服务</t>
        </is>
      </c>
      <c r="C14" s="11" t="inlineStr">
        <is>
          <t>Investment Advisory</t>
        </is>
      </c>
      <c r="D14" s="11" t="inlineStr">
        <is>
          <t>客需业务</t>
        </is>
      </c>
      <c r="E14" s="12" t="inlineStr">
        <is>
          <t>P2</t>
        </is>
      </c>
      <c r="F14" s="10" t="inlineStr">
        <is>
          <t>★★★☆☆</t>
        </is>
      </c>
      <c r="G14" s="10" t="inlineStr">
        <is>
          <t>★★☆☆☆</t>
        </is>
      </c>
      <c r="H14" s="10" t="inlineStr">
        <is>
          <t>L1</t>
        </is>
      </c>
      <c r="I14" s="10" t="inlineStr">
        <is>
          <t>L3</t>
        </is>
      </c>
      <c r="J14" s="7" t="inlineStr">
        <is>
          <t>中</t>
        </is>
      </c>
      <c r="K14" s="11" t="inlineStr">
        <is>
          <t>衡泰/金证</t>
        </is>
      </c>
      <c r="L14" s="11" t="inlineStr">
        <is>
          <t>IBOR持仓账薄</t>
        </is>
      </c>
      <c r="M14" s="10" t="n">
        <v>5</v>
      </c>
      <c r="N14" s="10" t="n">
        <v>5</v>
      </c>
      <c r="O14" s="13" t="n">
        <v>20</v>
      </c>
      <c r="P14" s="11" t="inlineStr">
        <is>
          <t>全链条数字化债券投顾服务，覆盖投资建议、账户分析、投研报告；对应PPT Slide 48</t>
        </is>
      </c>
    </row>
    <row r="15" ht="28" customHeight="1">
      <c r="A15" s="10" t="n">
        <v>13</v>
      </c>
      <c r="B15" s="11" t="inlineStr">
        <is>
          <t>TRS收益互换</t>
        </is>
      </c>
      <c r="C15" s="11" t="inlineStr">
        <is>
          <t>Total Return Swap</t>
        </is>
      </c>
      <c r="D15" s="11" t="inlineStr">
        <is>
          <t>客需业务</t>
        </is>
      </c>
      <c r="E15" s="12" t="inlineStr">
        <is>
          <t>P2</t>
        </is>
      </c>
      <c r="F15" s="10" t="inlineStr">
        <is>
          <t>★★★☆☆</t>
        </is>
      </c>
      <c r="G15" s="10" t="inlineStr">
        <is>
          <t>★★★☆☆</t>
        </is>
      </c>
      <c r="H15" s="10" t="inlineStr">
        <is>
          <t>L1</t>
        </is>
      </c>
      <c r="I15" s="10" t="inlineStr">
        <is>
          <t>L3</t>
        </is>
      </c>
      <c r="J15" s="7" t="inlineStr">
        <is>
          <t>中</t>
        </is>
      </c>
      <c r="K15" s="11" t="inlineStr">
        <is>
          <t>衡泰/森浦(STC)</t>
        </is>
      </c>
      <c r="L15" s="11" t="inlineStr">
        <is>
          <t>现券交易系统/IBOR/定价平台</t>
        </is>
      </c>
      <c r="M15" s="10" t="n">
        <v>6</v>
      </c>
      <c r="N15" s="10" t="n">
        <v>6</v>
      </c>
      <c r="O15" s="13" t="n">
        <v>30</v>
      </c>
      <c r="P15" s="11" t="inlineStr">
        <is>
          <t>场外衍生品主经纪商客需服务，三端架构（交易端/客户端/管理端），自动对冲与运营一体化；对应PPT Slide 49</t>
        </is>
      </c>
    </row>
    <row r="16" ht="28" customHeight="1">
      <c r="A16" s="15" t="n">
        <v>15</v>
      </c>
      <c r="B16" s="16" t="inlineStr">
        <is>
          <t>做市商系统</t>
        </is>
      </c>
      <c r="C16" s="16" t="inlineStr">
        <is>
          <t>Market Making</t>
        </is>
      </c>
      <c r="D16" s="16" t="inlineStr">
        <is>
          <t>前台做市</t>
        </is>
      </c>
      <c r="E16" s="17" t="inlineStr">
        <is>
          <t>P3</t>
        </is>
      </c>
      <c r="F16" s="15" t="inlineStr">
        <is>
          <t>★★★☆☆</t>
        </is>
      </c>
      <c r="G16" s="15" t="inlineStr">
        <is>
          <t>★★★★★</t>
        </is>
      </c>
      <c r="H16" s="15" t="inlineStr">
        <is>
          <t>L0</t>
        </is>
      </c>
      <c r="I16" s="15" t="inlineStr">
        <is>
          <t>L2</t>
        </is>
      </c>
      <c r="J16" s="14" t="inlineStr">
        <is>
          <t>大</t>
        </is>
      </c>
      <c r="K16" s="16" t="inlineStr">
        <is>
          <t>Murex/专项</t>
        </is>
      </c>
      <c r="L16" s="16" t="inlineStr">
        <is>
          <t>ATP报价接口</t>
        </is>
      </c>
      <c r="M16" s="15" t="n">
        <v>14</v>
      </c>
      <c r="N16" s="15" t="n">
        <v>12</v>
      </c>
      <c r="O16" s="18" t="n">
        <v>140</v>
      </c>
      <c r="P16" s="16" t="inlineStr">
        <is>
          <t>双边报价引擎，做市义务监控，报价策略自动优化，支持双边/TRS/RFQ/API四种做市模式；对应PPT Slide 53-54</t>
        </is>
      </c>
    </row>
    <row r="17">
      <c r="A17" s="19" t="inlineStr">
        <is>
          <t>合计 / Totals</t>
        </is>
      </c>
      <c r="M17" s="20">
        <f>SUM(M3:M16)</f>
        <v/>
      </c>
      <c r="N17" s="20">
        <f>MAX(N3:N16)</f>
        <v/>
      </c>
      <c r="O17" s="20">
        <f>SUM(O3:O16)</f>
        <v/>
      </c>
      <c r="P17" s="21" t="inlineStr">
        <is>
          <t>P1: 8模块(6项快赢+2项核心)  |  P2: 6模块  |  P3: 2模块</t>
        </is>
      </c>
    </row>
  </sheetData>
  <mergeCells count="2">
    <mergeCell ref="A1:P1"/>
    <mergeCell ref="A17:L17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9" customWidth="1" min="3" max="3"/>
    <col width="20" customWidth="1" min="4" max="4"/>
    <col width="45" customWidth="1" min="5" max="5"/>
    <col width="20" customWidth="1" min="6" max="6"/>
    <col width="8" customWidth="1" min="7" max="7"/>
    <col width="12" customWidth="1" min="8" max="8"/>
  </cols>
  <sheetData>
    <row r="1">
      <c r="A1" s="1" t="inlineStr">
        <is>
          <t>FICC各模块关键功能清单  —  华锐技术 / 2026</t>
        </is>
      </c>
    </row>
    <row r="2" ht="26" customHeight="1">
      <c r="A2" s="2" t="inlineStr">
        <is>
          <t>系统/模块</t>
        </is>
      </c>
      <c r="B2" s="2" t="inlineStr">
        <is>
          <t>优先级</t>
        </is>
      </c>
      <c r="C2" s="2" t="inlineStr">
        <is>
          <t>功能编号</t>
        </is>
      </c>
      <c r="D2" s="2" t="inlineStr">
        <is>
          <t>功能名称</t>
        </is>
      </c>
      <c r="E2" s="2" t="inlineStr">
        <is>
          <t>功能描述</t>
        </is>
      </c>
      <c r="F2" s="2" t="inlineStr">
        <is>
          <t>验收标准关键词</t>
        </is>
      </c>
      <c r="G2" s="2" t="inlineStr">
        <is>
          <t>复杂度</t>
        </is>
      </c>
      <c r="H2" s="2" t="inlineStr">
        <is>
          <t>预估工期(人天)</t>
        </is>
      </c>
    </row>
    <row r="3" ht="20" customHeight="1">
      <c r="A3" s="22" t="inlineStr">
        <is>
          <t>【P1】 IBOR投资账薄管理  (IBOR)</t>
        </is>
      </c>
    </row>
    <row r="4" ht="28" customHeight="1">
      <c r="A4" s="5" t="inlineStr">
        <is>
          <t>IBOR投资账薄管理</t>
        </is>
      </c>
      <c r="B4" s="3" t="inlineStr">
        <is>
          <t>P1</t>
        </is>
      </c>
      <c r="C4" s="3" t="inlineStr">
        <is>
          <t>F01-01</t>
        </is>
      </c>
      <c r="D4" s="4" t="inlineStr">
        <is>
          <t>全资产实时头寸</t>
        </is>
      </c>
      <c r="E4" s="5" t="inlineStr">
        <is>
          <t>债券/回购/利率衍生品全品种T0实时持仓，含未交割与待交割敞口分层展示</t>
        </is>
      </c>
      <c r="F4" s="5" t="inlineStr">
        <is>
          <t>持仓更新延迟&lt;500ms，全品种覆盖率100%</t>
        </is>
      </c>
      <c r="G4" s="23" t="inlineStr">
        <is>
          <t>高</t>
        </is>
      </c>
      <c r="H4" s="8" t="n">
        <v>40</v>
      </c>
    </row>
    <row r="5" ht="28" customHeight="1">
      <c r="A5" s="5" t="inlineStr">
        <is>
          <t>IBOR投资账薄管理</t>
        </is>
      </c>
      <c r="B5" s="3" t="inlineStr">
        <is>
          <t>P1</t>
        </is>
      </c>
      <c r="C5" s="3" t="inlineStr">
        <is>
          <t>F01-02</t>
        </is>
      </c>
      <c r="D5" s="4" t="inlineStr">
        <is>
          <t>多账户层级汇总</t>
        </is>
      </c>
      <c r="E5" s="5" t="inlineStr">
        <is>
          <t>基金/策略/组合/公司四级持仓合并与分拆，支持跨基金同标的穿透聚合</t>
        </is>
      </c>
      <c r="F5" s="5" t="inlineStr">
        <is>
          <t>层级汇总数据与单账户加总误差为零</t>
        </is>
      </c>
      <c r="G5" s="24" t="inlineStr">
        <is>
          <t>中</t>
        </is>
      </c>
      <c r="H5" s="8" t="n">
        <v>20</v>
      </c>
    </row>
    <row r="6" ht="28" customHeight="1">
      <c r="A6" s="5" t="inlineStr">
        <is>
          <t>IBOR投资账薄管理</t>
        </is>
      </c>
      <c r="B6" s="3" t="inlineStr">
        <is>
          <t>P1</t>
        </is>
      </c>
      <c r="C6" s="3" t="inlineStr">
        <is>
          <t>F01-03</t>
        </is>
      </c>
      <c r="D6" s="4" t="inlineStr">
        <is>
          <t>账薄T0/T1切换</t>
        </is>
      </c>
      <c r="E6" s="5" t="inlineStr">
        <is>
          <t>交易日账薄（含未交割）与结算账薄（T+1已交割）自动切换，切换耗时&lt;1min</t>
        </is>
      </c>
      <c r="F6" s="5" t="inlineStr">
        <is>
          <t>T0/T1持仓差=未交割敞口，自动核验通过率&gt;99%</t>
        </is>
      </c>
      <c r="G6" s="24" t="inlineStr">
        <is>
          <t>中</t>
        </is>
      </c>
      <c r="H6" s="8" t="n">
        <v>20</v>
      </c>
    </row>
    <row r="7" ht="28" customHeight="1">
      <c r="A7" s="5" t="inlineStr">
        <is>
          <t>IBOR投资账薄管理</t>
        </is>
      </c>
      <c r="B7" s="3" t="inlineStr">
        <is>
          <t>P1</t>
        </is>
      </c>
      <c r="C7" s="3" t="inlineStr">
        <is>
          <t>F01-04</t>
        </is>
      </c>
      <c r="D7" s="4" t="inlineStr">
        <is>
          <t>可用券与冻结管理</t>
        </is>
      </c>
      <c r="E7" s="5" t="inlineStr">
        <is>
          <t>质押券/司法冻结券/回购占用券从可用头寸自动剔除，前台实时可用量查询</t>
        </is>
      </c>
      <c r="F7" s="5" t="inlineStr">
        <is>
          <t>可用量计算误差为零，冻结事件&lt;30s生效</t>
        </is>
      </c>
      <c r="G7" s="24" t="inlineStr">
        <is>
          <t>中</t>
        </is>
      </c>
      <c r="H7" s="8" t="n">
        <v>15</v>
      </c>
    </row>
    <row r="8" ht="28" customHeight="1">
      <c r="A8" s="5" t="inlineStr">
        <is>
          <t>IBOR投资账薄管理</t>
        </is>
      </c>
      <c r="B8" s="3" t="inlineStr">
        <is>
          <t>P1</t>
        </is>
      </c>
      <c r="C8" s="3" t="inlineStr">
        <is>
          <t>F01-27</t>
        </is>
      </c>
      <c r="D8" s="4" t="inlineStr">
        <is>
          <t>资产打标与组合树管理</t>
        </is>
      </c>
      <c r="E8" s="5" t="inlineStr">
        <is>
          <t>多维度资产标签体系（评级/行业/策略/流动性层级/会计分类）灵活配置，支持自定义组合树构建多分析视角；标签驱动持仓穿透聚合和报表分组</t>
        </is>
      </c>
      <c r="F8" s="5" t="inlineStr">
        <is>
          <t>标签体系支持≥10维度，组合树层级≥4级，标签变更&lt;1min生效影响所有聚合视图</t>
        </is>
      </c>
      <c r="G8" s="24" t="inlineStr">
        <is>
          <t>中</t>
        </is>
      </c>
      <c r="H8" s="8" t="n">
        <v>20</v>
      </c>
    </row>
    <row r="9" ht="28" customHeight="1">
      <c r="A9" s="5" t="inlineStr">
        <is>
          <t>IBOR投资账薄管理</t>
        </is>
      </c>
      <c r="B9" s="3" t="inlineStr">
        <is>
          <t>P1</t>
        </is>
      </c>
      <c r="C9" s="3" t="inlineStr">
        <is>
          <t>F01-05</t>
        </is>
      </c>
      <c r="D9" s="4" t="inlineStr">
        <is>
          <t>实时现金余额</t>
        </is>
      </c>
      <c r="E9" s="5" t="inlineStr">
        <is>
          <t>多账户已结算/未结算现金实时汇总，T0资金头寸含日间资金划拨记录</t>
        </is>
      </c>
      <c r="F9" s="5" t="inlineStr">
        <is>
          <t>现金余额与银行回单误差为零，日中更新频率≥每分钟</t>
        </is>
      </c>
      <c r="G9" s="23" t="inlineStr">
        <is>
          <t>高</t>
        </is>
      </c>
      <c r="H9" s="8" t="n">
        <v>25</v>
      </c>
    </row>
    <row r="10" ht="28" customHeight="1">
      <c r="A10" s="5" t="inlineStr">
        <is>
          <t>IBOR投资账薄管理</t>
        </is>
      </c>
      <c r="B10" s="3" t="inlineStr">
        <is>
          <t>P1</t>
        </is>
      </c>
      <c r="C10" s="3" t="inlineStr">
        <is>
          <t>F01-06</t>
        </is>
      </c>
      <c r="D10" s="4" t="inlineStr">
        <is>
          <t>现金流预测</t>
        </is>
      </c>
      <c r="E10" s="5" t="inlineStr">
        <is>
          <t>回购到期/票息支付/衍生品结算现金流7-30日滚动预测，流动性缺口预警</t>
        </is>
      </c>
      <c r="F10" s="5" t="inlineStr">
        <is>
          <t>7日现金流预测准确率&gt;95%，流动性预警提前24h触发</t>
        </is>
      </c>
      <c r="G10" s="23" t="inlineStr">
        <is>
          <t>高</t>
        </is>
      </c>
      <c r="H10" s="8" t="n">
        <v>30</v>
      </c>
    </row>
    <row r="11" ht="28" customHeight="1">
      <c r="A11" s="5" t="inlineStr">
        <is>
          <t>IBOR投资账薄管理</t>
        </is>
      </c>
      <c r="B11" s="3" t="inlineStr">
        <is>
          <t>P1</t>
        </is>
      </c>
      <c r="C11" s="3" t="inlineStr">
        <is>
          <t>F01-07</t>
        </is>
      </c>
      <c r="D11" s="4" t="inlineStr">
        <is>
          <t>多币种资金管理</t>
        </is>
      </c>
      <c r="E11" s="5" t="inlineStr">
        <is>
          <t>CNY/USD/HKD等多币种现金分账户轧差，FX即期换算折算人民币净敞口</t>
        </is>
      </c>
      <c r="F11" s="5" t="inlineStr">
        <is>
          <t>多币种折算汇率误差&lt;0.01%，轧差结果实时刷新</t>
        </is>
      </c>
      <c r="G11" s="24" t="inlineStr">
        <is>
          <t>中</t>
        </is>
      </c>
      <c r="H11" s="8" t="n">
        <v>20</v>
      </c>
    </row>
    <row r="12" ht="28" customHeight="1">
      <c r="A12" s="5" t="inlineStr">
        <is>
          <t>IBOR投资账薄管理</t>
        </is>
      </c>
      <c r="B12" s="3" t="inlineStr">
        <is>
          <t>P1</t>
        </is>
      </c>
      <c r="C12" s="3" t="inlineStr">
        <is>
          <t>F01-08</t>
        </is>
      </c>
      <c r="D12" s="4" t="inlineStr">
        <is>
          <t>实时市值计算</t>
        </is>
      </c>
      <c r="E12" s="5" t="inlineStr">
        <is>
          <t>接入AMD/Bloomberg/Wind估值价格，全持仓实时MtM与日内PnL计算，支持估值价格覆盖</t>
        </is>
      </c>
      <c r="F12" s="5" t="inlineStr">
        <is>
          <t>MtM更新延迟&lt;1s，估值覆盖审批留痕100%</t>
        </is>
      </c>
      <c r="G12" s="23" t="inlineStr">
        <is>
          <t>高</t>
        </is>
      </c>
      <c r="H12" s="8" t="n">
        <v>35</v>
      </c>
    </row>
    <row r="13" ht="28" customHeight="1">
      <c r="A13" s="5" t="inlineStr">
        <is>
          <t>IBOR投资账薄管理</t>
        </is>
      </c>
      <c r="B13" s="3" t="inlineStr">
        <is>
          <t>P1</t>
        </is>
      </c>
      <c r="C13" s="3" t="inlineStr">
        <is>
          <t>F01-09</t>
        </is>
      </c>
      <c r="D13" s="4" t="inlineStr">
        <is>
          <t>应计利息计算</t>
        </is>
      </c>
      <c r="E13" s="5" t="inlineStr">
        <is>
          <t>债券应计利息按实际/365、实际/360、30/360多计息基准精确计算，日终净值自动生成</t>
        </is>
      </c>
      <c r="F13" s="5" t="inlineStr">
        <is>
          <t>应计利息与Bloomberg基准误差&lt;0.01元/百元面值</t>
        </is>
      </c>
      <c r="G13" s="24" t="inlineStr">
        <is>
          <t>中</t>
        </is>
      </c>
      <c r="H13" s="8" t="n">
        <v>20</v>
      </c>
    </row>
    <row r="14" ht="28" customHeight="1">
      <c r="A14" s="5" t="inlineStr">
        <is>
          <t>IBOR投资账薄管理</t>
        </is>
      </c>
      <c r="B14" s="3" t="inlineStr">
        <is>
          <t>P1</t>
        </is>
      </c>
      <c r="C14" s="3" t="inlineStr">
        <is>
          <t>F01-10</t>
        </is>
      </c>
      <c r="D14" s="4" t="inlineStr">
        <is>
          <t>衍生品逐日盯市</t>
        </is>
      </c>
      <c r="E14" s="5" t="inlineStr">
        <is>
          <t>IRS/CDS/国债期货逐日MtM计算，保证金余额实时更新，追加保证金（Margin Call）自动触发</t>
        </is>
      </c>
      <c r="F14" s="5" t="inlineStr">
        <is>
          <t>衍生品MtM与对手方差异&lt;0.5bps，Margin Call触发延迟&lt;5min</t>
        </is>
      </c>
      <c r="G14" s="23" t="inlineStr">
        <is>
          <t>高</t>
        </is>
      </c>
      <c r="H14" s="8" t="n">
        <v>30</v>
      </c>
    </row>
    <row r="15" ht="28" customHeight="1">
      <c r="A15" s="5" t="inlineStr">
        <is>
          <t>IBOR投资账薄管理</t>
        </is>
      </c>
      <c r="B15" s="3" t="inlineStr">
        <is>
          <t>P1</t>
        </is>
      </c>
      <c r="C15" s="3" t="inlineStr">
        <is>
          <t>F01-11</t>
        </is>
      </c>
      <c r="D15" s="4" t="inlineStr">
        <is>
          <t>付息与到期处理</t>
        </is>
      </c>
      <c r="E15" s="5" t="inlineStr">
        <is>
          <t>债券票息自动计算并入账，到期本金偿还自动处理，含权债（可赎回/可回售）行权事件提醒与执行</t>
        </is>
      </c>
      <c r="F15" s="5" t="inlineStr">
        <is>
          <t>付息/到期处理T+0完成，含权债提前5交易日发起行权提示</t>
        </is>
      </c>
      <c r="G15" s="23" t="inlineStr">
        <is>
          <t>高</t>
        </is>
      </c>
      <c r="H15" s="8" t="n">
        <v>30</v>
      </c>
    </row>
    <row r="16" ht="28" customHeight="1">
      <c r="A16" s="5" t="inlineStr">
        <is>
          <t>IBOR投资账薄管理</t>
        </is>
      </c>
      <c r="B16" s="3" t="inlineStr">
        <is>
          <t>P1</t>
        </is>
      </c>
      <c r="C16" s="3" t="inlineStr">
        <is>
          <t>F01-12</t>
        </is>
      </c>
      <c r="D16" s="4" t="inlineStr">
        <is>
          <t>回购滚动管理</t>
        </is>
      </c>
      <c r="E16" s="5" t="inlineStr">
        <is>
          <t>质押式/买断式回购到期自动识别，支持一键续作指令生成，回购占用券随生命周期自动更新</t>
        </is>
      </c>
      <c r="F16" s="5" t="inlineStr">
        <is>
          <t>到期回购提前1日预警，续作指令生成成功率&gt;99%</t>
        </is>
      </c>
      <c r="G16" s="23" t="inlineStr">
        <is>
          <t>高</t>
        </is>
      </c>
      <c r="H16" s="8" t="n">
        <v>25</v>
      </c>
    </row>
    <row r="17" ht="28" customHeight="1">
      <c r="A17" s="5" t="inlineStr">
        <is>
          <t>IBOR投资账薄管理</t>
        </is>
      </c>
      <c r="B17" s="3" t="inlineStr">
        <is>
          <t>P1</t>
        </is>
      </c>
      <c r="C17" s="3" t="inlineStr">
        <is>
          <t>F01-13</t>
        </is>
      </c>
      <c r="D17" s="4" t="inlineStr">
        <is>
          <t>公司行为通知</t>
        </is>
      </c>
      <c r="E17" s="5" t="inlineStr">
        <is>
          <t>债券评级变动/提前偿还/强制赎回等公司行为实时推送，影响持仓自动标注，处理决策记录留痕</t>
        </is>
      </c>
      <c r="F17" s="5" t="inlineStr">
        <is>
          <t>公司行为推送延迟&lt;30min，影响持仓标注覆盖率100%</t>
        </is>
      </c>
      <c r="G17" s="24" t="inlineStr">
        <is>
          <t>中</t>
        </is>
      </c>
      <c r="H17" s="8" t="n">
        <v>20</v>
      </c>
    </row>
    <row r="18" ht="28" customHeight="1">
      <c r="A18" s="5" t="inlineStr">
        <is>
          <t>IBOR投资账薄管理</t>
        </is>
      </c>
      <c r="B18" s="3" t="inlineStr">
        <is>
          <t>P1</t>
        </is>
      </c>
      <c r="C18" s="3" t="inlineStr">
        <is>
          <t>F01-14</t>
        </is>
      </c>
      <c r="D18" s="4" t="inlineStr">
        <is>
          <t>托管行持仓对账</t>
        </is>
      </c>
      <c r="E18" s="5" t="inlineStr">
        <is>
          <t>与中登（交易所债券）、中债登（银行间债券）日终持仓对账，差异自动分类（未交割/错误/缺漏）并推送告警</t>
        </is>
      </c>
      <c r="F18" s="5" t="inlineStr">
        <is>
          <t>日终对账完成时间&lt;8:00AM，差异识别率100%，自动匹配率&gt;95%</t>
        </is>
      </c>
      <c r="G18" s="23" t="inlineStr">
        <is>
          <t>高</t>
        </is>
      </c>
      <c r="H18" s="8" t="n">
        <v>30</v>
      </c>
    </row>
    <row r="19" ht="28" customHeight="1">
      <c r="A19" s="5" t="inlineStr">
        <is>
          <t>IBOR投资账薄管理</t>
        </is>
      </c>
      <c r="B19" s="3" t="inlineStr">
        <is>
          <t>P1</t>
        </is>
      </c>
      <c r="C19" s="3" t="inlineStr">
        <is>
          <t>F01-15</t>
        </is>
      </c>
      <c r="D19" s="4" t="inlineStr">
        <is>
          <t>IBOR-ABOR差异对比</t>
        </is>
      </c>
      <c r="E19" s="5" t="inlineStr">
        <is>
          <t>投资账薄（实时）与会计账薄（已结算）差异对比，差异原因自动分类（未结算/估值差/计提差），供中台复核</t>
        </is>
      </c>
      <c r="F19" s="5" t="inlineStr">
        <is>
          <t>IBOR-ABOR差异原因分类准确率&gt;98%，日终净值差=0（已结算口径）</t>
        </is>
      </c>
      <c r="G19" s="24" t="inlineStr">
        <is>
          <t>中</t>
        </is>
      </c>
      <c r="H19" s="8" t="n">
        <v>20</v>
      </c>
    </row>
    <row r="20" ht="28" customHeight="1">
      <c r="A20" s="5" t="inlineStr">
        <is>
          <t>IBOR投资账薄管理</t>
        </is>
      </c>
      <c r="B20" s="3" t="inlineStr">
        <is>
          <t>P1</t>
        </is>
      </c>
      <c r="C20" s="3" t="inlineStr">
        <is>
          <t>F01-16</t>
        </is>
      </c>
      <c r="D20" s="4" t="inlineStr">
        <is>
          <t>交割失败追踪</t>
        </is>
      </c>
      <c r="E20" s="5" t="inlineStr">
        <is>
          <t>未交割记录全生命周期管理，T+N逾期告警，补交割流程触发，交割失败率统计分析</t>
        </is>
      </c>
      <c r="F20" s="5" t="inlineStr">
        <is>
          <t>交割失败识别延迟&lt;1h，补交割触发成功率&gt;95%</t>
        </is>
      </c>
      <c r="G20" s="24" t="inlineStr">
        <is>
          <t>中</t>
        </is>
      </c>
      <c r="H20" s="8" t="n">
        <v>15</v>
      </c>
    </row>
    <row r="21" ht="28" customHeight="1">
      <c r="A21" s="5" t="inlineStr">
        <is>
          <t>IBOR投资账薄管理</t>
        </is>
      </c>
      <c r="B21" s="3" t="inlineStr">
        <is>
          <t>P1</t>
        </is>
      </c>
      <c r="C21" s="3" t="inlineStr">
        <is>
          <t>F01-17</t>
        </is>
      </c>
      <c r="D21" s="4" t="inlineStr">
        <is>
          <t>实时合规检查</t>
        </is>
      </c>
      <c r="E21" s="5" t="inlineStr">
        <is>
          <t>投资授权范围/单券集中度/久期限额/评级限额实时监控，违规自动告警并阻断交易指令</t>
        </is>
      </c>
      <c r="F21" s="5" t="inlineStr">
        <is>
          <t>合规检查响应&lt;200ms，零漏报，误报率&lt;0.1%</t>
        </is>
      </c>
      <c r="G21" s="23" t="inlineStr">
        <is>
          <t>高</t>
        </is>
      </c>
      <c r="H21" s="8" t="n">
        <v>25</v>
      </c>
    </row>
    <row r="22" ht="28" customHeight="1">
      <c r="A22" s="5" t="inlineStr">
        <is>
          <t>IBOR投资账薄管理</t>
        </is>
      </c>
      <c r="B22" s="3" t="inlineStr">
        <is>
          <t>P1</t>
        </is>
      </c>
      <c r="C22" s="3" t="inlineStr">
        <is>
          <t>F01-18</t>
        </is>
      </c>
      <c r="D22" s="4" t="inlineStr">
        <is>
          <t>监管报送数据支持</t>
        </is>
      </c>
      <c r="E22" s="5" t="inlineStr">
        <is>
          <t>按人民银行/证监会/银保监会格式提取持仓/交易/资金数据，支持报表模板配置与定时推送</t>
        </is>
      </c>
      <c r="F22" s="5" t="inlineStr">
        <is>
          <t>报送数据与IBOR源数据一致性100%，定时推送准时率&gt;99.9%</t>
        </is>
      </c>
      <c r="G22" s="24" t="inlineStr">
        <is>
          <t>中</t>
        </is>
      </c>
      <c r="H22" s="8" t="n">
        <v>20</v>
      </c>
    </row>
    <row r="23" ht="28" customHeight="1">
      <c r="A23" s="5" t="inlineStr">
        <is>
          <t>IBOR投资账薄管理</t>
        </is>
      </c>
      <c r="B23" s="3" t="inlineStr">
        <is>
          <t>P1</t>
        </is>
      </c>
      <c r="C23" s="3" t="inlineStr">
        <is>
          <t>F01-19</t>
        </is>
      </c>
      <c r="D23" s="4" t="inlineStr">
        <is>
          <t>行情数据接入</t>
        </is>
      </c>
      <c r="E23" s="5" t="inlineStr">
        <is>
          <t>接入AMD/Bloomberg/Wind实时行情（中债估值/利率曲线/信用利差/波动率曲面），标准化清洗后推送至IBOR定价层</t>
        </is>
      </c>
      <c r="F23" s="5" t="inlineStr">
        <is>
          <t>行情延迟&lt;1s，数据完整性&gt;99.9%，异常行情自动过滤告警</t>
        </is>
      </c>
      <c r="G23" s="23" t="inlineStr">
        <is>
          <t>高</t>
        </is>
      </c>
      <c r="H23" s="8" t="n">
        <v>25</v>
      </c>
    </row>
    <row r="24" ht="28" customHeight="1">
      <c r="A24" s="5" t="inlineStr">
        <is>
          <t>IBOR投资账薄管理</t>
        </is>
      </c>
      <c r="B24" s="3" t="inlineStr">
        <is>
          <t>P1</t>
        </is>
      </c>
      <c r="C24" s="3" t="inlineStr">
        <is>
          <t>F01-20</t>
        </is>
      </c>
      <c r="D24" s="4" t="inlineStr">
        <is>
          <t>交易数据接入</t>
        </is>
      </c>
      <c r="E24" s="5" t="inlineStr">
        <is>
          <t>从OMS/交易终端实时获取成交回报（债券/回购/衍生品），含完整交易状态机（报盘/成交/撤单/部分成交）追踪</t>
        </is>
      </c>
      <c r="F24" s="5" t="inlineStr">
        <is>
          <t>成交回报接收延迟&lt;200ms，数据完整性100%，状态机覆盖全交易生命周期</t>
        </is>
      </c>
      <c r="G24" s="24" t="inlineStr">
        <is>
          <t>中</t>
        </is>
      </c>
      <c r="H24" s="8" t="n">
        <v>20</v>
      </c>
    </row>
    <row r="25" ht="28" customHeight="1">
      <c r="A25" s="5" t="inlineStr">
        <is>
          <t>IBOR投资账薄管理</t>
        </is>
      </c>
      <c r="B25" s="3" t="inlineStr">
        <is>
          <t>P1</t>
        </is>
      </c>
      <c r="C25" s="3" t="inlineStr">
        <is>
          <t>F01-21</t>
        </is>
      </c>
      <c r="D25" s="4" t="inlineStr">
        <is>
          <t>持仓数据获取</t>
        </is>
      </c>
      <c r="E25" s="5" t="inlineStr">
        <is>
          <t>期初从托管行/清算系统获取存量持仓，日间成交驱动增量更新，支持多来源持仓比对与主数据确认</t>
        </is>
      </c>
      <c r="F25" s="5" t="inlineStr">
        <is>
          <t>期初持仓加载完成&lt;7:00AM，日间增量延迟&lt;500ms，多源持仓一致性核验通过率&gt;99%</t>
        </is>
      </c>
      <c r="G25" s="24" t="inlineStr">
        <is>
          <t>中</t>
        </is>
      </c>
      <c r="H25" s="8" t="n">
        <v>20</v>
      </c>
    </row>
    <row r="26" ht="28" customHeight="1">
      <c r="A26" s="5" t="inlineStr">
        <is>
          <t>IBOR投资账薄管理</t>
        </is>
      </c>
      <c r="B26" s="3" t="inlineStr">
        <is>
          <t>P1</t>
        </is>
      </c>
      <c r="C26" s="3" t="inlineStr">
        <is>
          <t>F01-22</t>
        </is>
      </c>
      <c r="D26" s="4" t="inlineStr">
        <is>
          <t>多时态头寸视图</t>
        </is>
      </c>
      <c r="E26" s="5" t="inlineStr">
        <is>
          <t>按任意历史as-of/as-on日期提取头寸快照（历史切片），同时支持基于未来现金流和已知事件的预测头寸视图，满足绩效复盘与流动性预判双场景</t>
        </is>
      </c>
      <c r="F26" s="5" t="inlineStr">
        <is>
          <t>历史快照查询任意日期延迟&lt;3s，预测视图覆盖30日前瞻</t>
        </is>
      </c>
      <c r="G26" s="23" t="inlineStr">
        <is>
          <t>高</t>
        </is>
      </c>
      <c r="H26" s="8" t="n">
        <v>30</v>
      </c>
    </row>
    <row r="27" ht="28" customHeight="1">
      <c r="A27" s="5" t="inlineStr">
        <is>
          <t>IBOR投资账薄管理</t>
        </is>
      </c>
      <c r="B27" s="3" t="inlineStr">
        <is>
          <t>P1</t>
        </is>
      </c>
      <c r="C27" s="3" t="inlineStr">
        <is>
          <t>F01-23</t>
        </is>
      </c>
      <c r="D27" s="4" t="inlineStr">
        <is>
          <t>会计分类估值与稽核</t>
        </is>
      </c>
      <c r="E27" s="5" t="inlineStr">
        <is>
          <t>按FVTPL（市值法）/FVOCI（可供出售）/AMC（摊余成本法）三类会计分类配置估值方法，颗粒度支持个券维度；内嵌估值稽核规则引擎与ABOR系统定期核对，差异自动预警</t>
        </is>
      </c>
      <c r="F27" s="5" t="inlineStr">
        <is>
          <t>估值方法配置覆盖全品种，稽核规则命中率&gt;99%，核对差异&lt;0.01%</t>
        </is>
      </c>
      <c r="G27" s="23" t="inlineStr">
        <is>
          <t>高</t>
        </is>
      </c>
      <c r="H27" s="8" t="n">
        <v>30</v>
      </c>
    </row>
    <row r="28" ht="28" customHeight="1">
      <c r="A28" s="5" t="inlineStr">
        <is>
          <t>IBOR投资账薄管理</t>
        </is>
      </c>
      <c r="B28" s="3" t="inlineStr">
        <is>
          <t>P1</t>
        </is>
      </c>
      <c r="C28" s="3" t="inlineStr">
        <is>
          <t>F01-24</t>
        </is>
      </c>
      <c r="D28" s="4" t="inlineStr">
        <is>
          <t>手工补录与审批工作流</t>
        </is>
      </c>
      <c r="E28" s="5" t="inlineStr">
        <is>
          <t>对上游系统缺失或错误数据支持手工增删改操作，修改后自动触发双级审批工作流，全操作记录审计日志，支持待办集中处理与历史审批检索</t>
        </is>
      </c>
      <c r="F28" s="5" t="inlineStr">
        <is>
          <t>审批流配置覆盖100%手工操作类型，操作日志不可篡改，审批完成后数据生效&lt;1min</t>
        </is>
      </c>
      <c r="G28" s="24" t="inlineStr">
        <is>
          <t>中</t>
        </is>
      </c>
      <c r="H28" s="8" t="n">
        <v>20</v>
      </c>
    </row>
    <row r="29" ht="28" customHeight="1">
      <c r="A29" s="5" t="inlineStr">
        <is>
          <t>IBOR投资账薄管理</t>
        </is>
      </c>
      <c r="B29" s="3" t="inlineStr">
        <is>
          <t>P1</t>
        </is>
      </c>
      <c r="C29" s="3" t="inlineStr">
        <is>
          <t>F01-25</t>
        </is>
      </c>
      <c r="D29" s="4" t="inlineStr">
        <is>
          <t>当日模拟试算</t>
        </is>
      </c>
      <c r="E29" s="5" t="inlineStr">
        <is>
          <t>投资经理下达模拟交易指令（不实际成交），IBOR实时计算试算前后组合持仓/MtM/DV01/风险敞口变化，支持多方案并行对比及最优路径推荐</t>
        </is>
      </c>
      <c r="F29" s="5" t="inlineStr">
        <is>
          <t>模拟指令生效&lt;2s，试算结果与真实成交后结果误差&lt;0.1%，支持≥10方案并行</t>
        </is>
      </c>
      <c r="G29" s="23" t="inlineStr">
        <is>
          <t>高</t>
        </is>
      </c>
      <c r="H29" s="8" t="n">
        <v>35</v>
      </c>
    </row>
    <row r="30" ht="28" customHeight="1">
      <c r="A30" s="5" t="inlineStr">
        <is>
          <t>IBOR投资账薄管理</t>
        </is>
      </c>
      <c r="B30" s="3" t="inlineStr">
        <is>
          <t>P1</t>
        </is>
      </c>
      <c r="C30" s="3" t="inlineStr">
        <is>
          <t>F01-26</t>
        </is>
      </c>
      <c r="D30" s="4" t="inlineStr">
        <is>
          <t>未来情景试算</t>
        </is>
      </c>
      <c r="E30" s="5" t="inlineStr">
        <is>
          <t>基于假设的未来交易路径和市场情景（利率平移/信用冲击/流动性压力），预测未来N日组合持仓状态、现金流和风险敞口，输出情景P&amp;L分布</t>
        </is>
      </c>
      <c r="F30" s="5" t="inlineStr">
        <is>
          <t>支持≥3类情景参数配置，N日预测（N≤30）计算完成&lt;30s</t>
        </is>
      </c>
      <c r="G30" s="23" t="inlineStr">
        <is>
          <t>高</t>
        </is>
      </c>
      <c r="H30" s="8" t="n">
        <v>30</v>
      </c>
    </row>
    <row r="31" ht="20" customHeight="1">
      <c r="A31" s="22" t="inlineStr">
        <is>
          <t>【P1】 现券交易系统  (Bond Trading System)</t>
        </is>
      </c>
    </row>
    <row r="32" ht="28" customHeight="1">
      <c r="A32" s="5" t="inlineStr">
        <is>
          <t>现券交易系统</t>
        </is>
      </c>
      <c r="B32" s="3" t="inlineStr">
        <is>
          <t>P1</t>
        </is>
      </c>
      <c r="C32" s="3" t="inlineStr">
        <is>
          <t>F02-01</t>
        </is>
      </c>
      <c r="D32" s="4" t="inlineStr">
        <is>
          <t>银行间双边报价</t>
        </is>
      </c>
      <c r="E32" s="5" t="inlineStr">
        <is>
          <t>CFETS/X-Bond两板块双边报价，支持询价(RFQ)和竞价模式，报价有效期自动管理，批量报价维护与撤单</t>
        </is>
      </c>
      <c r="F32" s="5" t="inlineStr">
        <is>
          <t>报价发出到CFETS确认&lt;200ms，批量报价支持≥100条/次</t>
        </is>
      </c>
      <c r="G32" s="23" t="inlineStr">
        <is>
          <t>高</t>
        </is>
      </c>
      <c r="H32" s="8" t="n">
        <v>30</v>
      </c>
    </row>
    <row r="33" ht="28" customHeight="1">
      <c r="A33" s="5" t="inlineStr">
        <is>
          <t>现券交易系统</t>
        </is>
      </c>
      <c r="B33" s="3" t="inlineStr">
        <is>
          <t>P1</t>
        </is>
      </c>
      <c r="C33" s="3" t="inlineStr">
        <is>
          <t>F02-02</t>
        </is>
      </c>
      <c r="D33" s="4" t="inlineStr">
        <is>
          <t>交易所债券委托</t>
        </is>
      </c>
      <c r="E33" s="5" t="inlineStr">
        <is>
          <t>上交所/深交所债券买卖下单，支持限价/市价/条件单三类订单，撤单与改单，ETF债券联接与综合协议交易</t>
        </is>
      </c>
      <c r="F33" s="5" t="inlineStr">
        <is>
          <t>委托响应&lt;100ms，撤单成功率&gt;99.5%</t>
        </is>
      </c>
      <c r="G33" s="24" t="inlineStr">
        <is>
          <t>中</t>
        </is>
      </c>
      <c r="H33" s="8" t="n">
        <v>20</v>
      </c>
    </row>
    <row r="34" ht="28" customHeight="1">
      <c r="A34" s="5" t="inlineStr">
        <is>
          <t>现券交易系统</t>
        </is>
      </c>
      <c r="B34" s="3" t="inlineStr">
        <is>
          <t>P1</t>
        </is>
      </c>
      <c r="C34" s="3" t="inlineStr">
        <is>
          <t>F02-07</t>
        </is>
      </c>
      <c r="D34" s="4" t="inlineStr">
        <is>
          <t>RFQ询价管理</t>
        </is>
      </c>
      <c r="E34" s="5" t="inlineStr">
        <is>
          <t>支持发起/接收/应答全链路RFQ流程，询价对象多选，报价有效期倒计时，最优报价自动高亮，历史询价记录检索</t>
        </is>
      </c>
      <c r="F34" s="5" t="inlineStr">
        <is>
          <t>RFQ全流程(发起到成交)端到端&lt;30s，历史记录保存≥1年</t>
        </is>
      </c>
      <c r="G34" s="24" t="inlineStr">
        <is>
          <t>中</t>
        </is>
      </c>
      <c r="H34" s="8" t="n">
        <v>20</v>
      </c>
    </row>
    <row r="35" ht="28" customHeight="1">
      <c r="A35" s="5" t="inlineStr">
        <is>
          <t>现券交易系统</t>
        </is>
      </c>
      <c r="B35" s="3" t="inlineStr">
        <is>
          <t>P1</t>
        </is>
      </c>
      <c r="C35" s="3" t="inlineStr">
        <is>
          <t>F02-08</t>
        </is>
      </c>
      <c r="D35" s="4" t="inlineStr">
        <is>
          <t>Bond Connect跨境接入</t>
        </is>
      </c>
      <c r="E35" s="5" t="inlineStr">
        <is>
          <t>对接香港债券通(北向通)，支持境外机构通过Bond Connect参与银行间债券交易，含SWIFT报文生成与境外结算指令</t>
        </is>
      </c>
      <c r="F35" s="5" t="inlineStr">
        <is>
          <t>Bond Connect成交回报处理&lt;500ms，SWIFT报文生成准确率100%</t>
        </is>
      </c>
      <c r="G35" s="23" t="inlineStr">
        <is>
          <t>高</t>
        </is>
      </c>
      <c r="H35" s="8" t="n">
        <v>40</v>
      </c>
    </row>
    <row r="36" ht="28" customHeight="1">
      <c r="A36" s="5" t="inlineStr">
        <is>
          <t>现券交易系统</t>
        </is>
      </c>
      <c r="B36" s="3" t="inlineStr">
        <is>
          <t>P1</t>
        </is>
      </c>
      <c r="C36" s="3" t="inlineStr">
        <is>
          <t>F02-09</t>
        </is>
      </c>
      <c r="D36" s="4" t="inlineStr">
        <is>
          <t>订单全生命周期管理</t>
        </is>
      </c>
      <c r="E36" s="5" t="inlineStr">
        <is>
          <t>订单录入/修改/撤销/挂单状态机，支持部分成交跟踪，订单有效期(GTC/GTD/IOC/FOK)配置，订单历史完整审计</t>
        </is>
      </c>
      <c r="F36" s="5" t="inlineStr">
        <is>
          <t>订单状态更新延迟&lt;100ms，状态机覆盖全生命周期，历史可回溯≥1年</t>
        </is>
      </c>
      <c r="G36" s="23" t="inlineStr">
        <is>
          <t>高</t>
        </is>
      </c>
      <c r="H36" s="8" t="n">
        <v>25</v>
      </c>
    </row>
    <row r="37" ht="28" customHeight="1">
      <c r="A37" s="5" t="inlineStr">
        <is>
          <t>现券交易系统</t>
        </is>
      </c>
      <c r="B37" s="3" t="inlineStr">
        <is>
          <t>P1</t>
        </is>
      </c>
      <c r="C37" s="3" t="inlineStr">
        <is>
          <t>F02-10</t>
        </is>
      </c>
      <c r="D37" s="4" t="inlineStr">
        <is>
          <t>大宗/协议交易</t>
        </is>
      </c>
      <c r="E37" s="5" t="inlineStr">
        <is>
          <t>银行间大宗交易报价协商，双边确认，超大额交易分笔拆单执行，协议交易备案与记录</t>
        </is>
      </c>
      <c r="F37" s="5" t="inlineStr">
        <is>
          <t>大宗交易协商流程≤5步确认，拆单执行计划自动生成</t>
        </is>
      </c>
      <c r="G37" s="24" t="inlineStr">
        <is>
          <t>中</t>
        </is>
      </c>
      <c r="H37" s="8" t="n">
        <v>20</v>
      </c>
    </row>
    <row r="38" ht="28" customHeight="1">
      <c r="A38" s="5" t="inlineStr">
        <is>
          <t>现券交易系统</t>
        </is>
      </c>
      <c r="B38" s="3" t="inlineStr">
        <is>
          <t>P1</t>
        </is>
      </c>
      <c r="C38" s="3" t="inlineStr">
        <is>
          <t>F02-11</t>
        </is>
      </c>
      <c r="D38" s="4" t="inlineStr">
        <is>
          <t>篮子交易与批量下单</t>
        </is>
      </c>
      <c r="E38" s="5" t="inlineStr">
        <is>
          <t>多债券组合同时建仓/调仓，篮子订单按权重/金额/数量三种模式分配，批量状态监控与部分失败重试</t>
        </is>
      </c>
      <c r="F38" s="5" t="inlineStr">
        <is>
          <t>篮子交易支持≥50只债券同批，批量下单耗时&lt;5s</t>
        </is>
      </c>
      <c r="G38" s="24" t="inlineStr">
        <is>
          <t>中</t>
        </is>
      </c>
      <c r="H38" s="8" t="n">
        <v>20</v>
      </c>
    </row>
    <row r="39" ht="28" customHeight="1">
      <c r="A39" s="5" t="inlineStr">
        <is>
          <t>现券交易系统</t>
        </is>
      </c>
      <c r="B39" s="3" t="inlineStr">
        <is>
          <t>P1</t>
        </is>
      </c>
      <c r="C39" s="3" t="inlineStr">
        <is>
          <t>F02-12</t>
        </is>
      </c>
      <c r="D39" s="4" t="inlineStr">
        <is>
          <t>条件单与算法单接口</t>
        </is>
      </c>
      <c r="E39" s="5" t="inlineStr">
        <is>
          <t>价格触发条件单（达到目标YTM/价格自动下单），预留TWAP/VWAP算法交易接口，算法执行进度实时展示</t>
        </is>
      </c>
      <c r="F39" s="5" t="inlineStr">
        <is>
          <t>条件触发延迟&lt;1s，算法接口支持主流算法交易供应商标准协议</t>
        </is>
      </c>
      <c r="G39" s="23" t="inlineStr">
        <is>
          <t>高</t>
        </is>
      </c>
      <c r="H39" s="8" t="n">
        <v>30</v>
      </c>
    </row>
    <row r="40" ht="28" customHeight="1">
      <c r="A40" s="5" t="inlineStr">
        <is>
          <t>现券交易系统</t>
        </is>
      </c>
      <c r="B40" s="3" t="inlineStr">
        <is>
          <t>P1</t>
        </is>
      </c>
      <c r="C40" s="3" t="inlineStr">
        <is>
          <t>F02-03</t>
        </is>
      </c>
      <c r="D40" s="4" t="inlineStr">
        <is>
          <t>收益率/价格计算</t>
        </is>
      </c>
      <c r="E40" s="5" t="inlineStr">
        <is>
          <t>全品种YTM/全价/净价双向转换，含权债修正久期，多计息基准(ACT/365/ACT/360/30/360)精确计算</t>
        </is>
      </c>
      <c r="F40" s="5" t="inlineStr">
        <is>
          <t>YTM计算与Bloomberg基准误差&lt;0.1bps，含权债定价覆盖主流含权结构</t>
        </is>
      </c>
      <c r="G40" s="24" t="inlineStr">
        <is>
          <t>中</t>
        </is>
      </c>
      <c r="H40" s="8" t="n">
        <v>15</v>
      </c>
    </row>
    <row r="41" ht="28" customHeight="1">
      <c r="A41" s="5" t="inlineStr">
        <is>
          <t>现券交易系统</t>
        </is>
      </c>
      <c r="B41" s="3" t="inlineStr">
        <is>
          <t>P1</t>
        </is>
      </c>
      <c r="C41" s="3" t="inlineStr">
        <is>
          <t>F02-13</t>
        </is>
      </c>
      <c r="D41" s="4" t="inlineStr">
        <is>
          <t>特殊品种定价</t>
        </is>
      </c>
      <c r="E41" s="5" t="inlineStr">
        <is>
          <t>ABS/ABN资产支持证券、永续债、可转债、可交换债、二级资本债定价，含信用利差/流动性溢价调整</t>
        </is>
      </c>
      <c r="F41" s="5" t="inlineStr">
        <is>
          <t>特殊品种覆盖率100%，定价结果与市场成交价偏差统计&lt;5bps</t>
        </is>
      </c>
      <c r="G41" s="23" t="inlineStr">
        <is>
          <t>高</t>
        </is>
      </c>
      <c r="H41" s="8" t="n">
        <v>30</v>
      </c>
    </row>
    <row r="42" ht="28" customHeight="1">
      <c r="A42" s="5" t="inlineStr">
        <is>
          <t>现券交易系统</t>
        </is>
      </c>
      <c r="B42" s="3" t="inlineStr">
        <is>
          <t>P1</t>
        </is>
      </c>
      <c r="C42" s="3" t="inlineStr">
        <is>
          <t>F02-14</t>
        </is>
      </c>
      <c r="D42" s="4" t="inlineStr">
        <is>
          <t>实时浮盈浮亏</t>
        </is>
      </c>
      <c r="E42" s="5" t="inlineStr">
        <is>
          <t>成交后即时PnL计算，含已实现/未实现分拆，按账户/策略/品种多维度汇总，日内PnL归因(价格/利息/汇率)</t>
        </is>
      </c>
      <c r="F42" s="5" t="inlineStr">
        <is>
          <t>PnL更新延迟&lt;1s，已实现/未实现分拆误差为零</t>
        </is>
      </c>
      <c r="G42" s="23" t="inlineStr">
        <is>
          <t>高</t>
        </is>
      </c>
      <c r="H42" s="8" t="n">
        <v>25</v>
      </c>
    </row>
    <row r="43" ht="28" customHeight="1">
      <c r="A43" s="5" t="inlineStr">
        <is>
          <t>现券交易系统</t>
        </is>
      </c>
      <c r="B43" s="3" t="inlineStr">
        <is>
          <t>P1</t>
        </is>
      </c>
      <c r="C43" s="3" t="inlineStr">
        <is>
          <t>F02-15</t>
        </is>
      </c>
      <c r="D43" s="4" t="inlineStr">
        <is>
          <t>利率敏感性指标</t>
        </is>
      </c>
      <c r="E43" s="5" t="inlineStr">
        <is>
          <t>DV01/修正久期/凸性实时计算，组合层面利率风险汇总，BP-level利率冲击情景分析</t>
        </is>
      </c>
      <c r="F43" s="5" t="inlineStr">
        <is>
          <t>敏感性指标与Bloomberg基准误差&lt;1%，组合汇总更新&lt;2s</t>
        </is>
      </c>
      <c r="G43" s="24" t="inlineStr">
        <is>
          <t>中</t>
        </is>
      </c>
      <c r="H43" s="8" t="n">
        <v>20</v>
      </c>
    </row>
    <row r="44" ht="28" customHeight="1">
      <c r="A44" s="5" t="inlineStr">
        <is>
          <t>现券交易系统</t>
        </is>
      </c>
      <c r="B44" s="3" t="inlineStr">
        <is>
          <t>P1</t>
        </is>
      </c>
      <c r="C44" s="3" t="inlineStr">
        <is>
          <t>F02-04</t>
        </is>
      </c>
      <c r="D44" s="4" t="inlineStr">
        <is>
          <t>交易前风险校验</t>
        </is>
      </c>
      <c r="E44" s="5" t="inlineStr">
        <is>
          <t>调用事前风控接口，单笔限额/账户集中度/利率风险DV01/信用评级限额实时拦截，风控拦截阻断下单</t>
        </is>
      </c>
      <c r="F44" s="5" t="inlineStr">
        <is>
          <t>风控校验响应&lt;10ms，零漏拦，误报率&lt;0.05%</t>
        </is>
      </c>
      <c r="G44" s="24" t="inlineStr">
        <is>
          <t>中</t>
        </is>
      </c>
      <c r="H44" s="8" t="n">
        <v>15</v>
      </c>
    </row>
    <row r="45" ht="28" customHeight="1">
      <c r="A45" s="5" t="inlineStr">
        <is>
          <t>现券交易系统</t>
        </is>
      </c>
      <c r="B45" s="3" t="inlineStr">
        <is>
          <t>P1</t>
        </is>
      </c>
      <c r="C45" s="3" t="inlineStr">
        <is>
          <t>F02-16</t>
        </is>
      </c>
      <c r="D45" s="4" t="inlineStr">
        <is>
          <t>合规规则嵌入</t>
        </is>
      </c>
      <c r="E45" s="5" t="inlineStr">
        <is>
          <t>投资授权范围/禁投清单/单券集中度上限/评级下限嵌入下单流程，不符合规则自动弹窗说明并阻断，支持规则热更新</t>
        </is>
      </c>
      <c r="F45" s="5" t="inlineStr">
        <is>
          <t>合规规则覆盖投资授权书100%条款，规则热更新生效&lt;1min</t>
        </is>
      </c>
      <c r="G45" s="24" t="inlineStr">
        <is>
          <t>中</t>
        </is>
      </c>
      <c r="H45" s="8" t="n">
        <v>20</v>
      </c>
    </row>
    <row r="46" ht="28" customHeight="1">
      <c r="A46" s="5" t="inlineStr">
        <is>
          <t>现券交易系统</t>
        </is>
      </c>
      <c r="B46" s="3" t="inlineStr">
        <is>
          <t>P1</t>
        </is>
      </c>
      <c r="C46" s="3" t="inlineStr">
        <is>
          <t>F02-17</t>
        </is>
      </c>
      <c r="D46" s="4" t="inlineStr">
        <is>
          <t>流动性与市场影响评估</t>
        </is>
      </c>
      <c r="E46" s="5" t="inlineStr">
        <is>
          <t>大额交易前评估目标债券流动性（换手率/买卖价差/存量规模），估算市场冲击成本，超阈值触发投资经理二次确认</t>
        </is>
      </c>
      <c r="F46" s="5" t="inlineStr">
        <is>
          <t>流动性评估结果&lt;500ms，大额阈值可配置，确认记录100%留痕</t>
        </is>
      </c>
      <c r="G46" s="24" t="inlineStr">
        <is>
          <t>中</t>
        </is>
      </c>
      <c r="H46" s="8" t="n">
        <v>20</v>
      </c>
    </row>
    <row r="47" ht="28" customHeight="1">
      <c r="A47" s="5" t="inlineStr">
        <is>
          <t>现券交易系统</t>
        </is>
      </c>
      <c r="B47" s="3" t="inlineStr">
        <is>
          <t>P1</t>
        </is>
      </c>
      <c r="C47" s="3" t="inlineStr">
        <is>
          <t>F02-05</t>
        </is>
      </c>
      <c r="D47" s="4" t="inlineStr">
        <is>
          <t>交易确认与指令生成</t>
        </is>
      </c>
      <c r="E47" s="5" t="inlineStr">
        <is>
          <t>成交确认后自动生成DVP/FOP清算指令，含托管账户/资金账户/ISIN/结算金额完整要素，推送清算结算模块</t>
        </is>
      </c>
      <c r="F47" s="5" t="inlineStr">
        <is>
          <t>成交到指令生成延迟&lt;500ms，指令要素完整率100%</t>
        </is>
      </c>
      <c r="G47" s="23" t="inlineStr">
        <is>
          <t>高</t>
        </is>
      </c>
      <c r="H47" s="8" t="n">
        <v>20</v>
      </c>
    </row>
    <row r="48" ht="28" customHeight="1">
      <c r="A48" s="5" t="inlineStr">
        <is>
          <t>现券交易系统</t>
        </is>
      </c>
      <c r="B48" s="3" t="inlineStr">
        <is>
          <t>P1</t>
        </is>
      </c>
      <c r="C48" s="3" t="inlineStr">
        <is>
          <t>F02-18</t>
        </is>
      </c>
      <c r="D48" s="4" t="inlineStr">
        <is>
          <t>STP直通处理</t>
        </is>
      </c>
      <c r="E48" s="5" t="inlineStr">
        <is>
          <t>成交→IBOR更新→清算指令全链路无人工干预，异常（金额差异/账户不匹配）自动隔离进入人工处理队列，STP率实时监控</t>
        </is>
      </c>
      <c r="F48" s="5" t="inlineStr">
        <is>
          <t>STP直通率&gt;98%，异常隔离延迟&lt;1min，人工处理队列可视化</t>
        </is>
      </c>
      <c r="G48" s="23" t="inlineStr">
        <is>
          <t>高</t>
        </is>
      </c>
      <c r="H48" s="8" t="n">
        <v>25</v>
      </c>
    </row>
    <row r="49" ht="28" customHeight="1">
      <c r="A49" s="5" t="inlineStr">
        <is>
          <t>现券交易系统</t>
        </is>
      </c>
      <c r="B49" s="3" t="inlineStr">
        <is>
          <t>P1</t>
        </is>
      </c>
      <c r="C49" s="3" t="inlineStr">
        <is>
          <t>F02-19</t>
        </is>
      </c>
      <c r="D49" s="4" t="inlineStr">
        <is>
          <t>成交修正与错单处理</t>
        </is>
      </c>
      <c r="E49" s="5" t="inlineStr">
        <is>
          <t>支持T+0错单撤销/修改，含双级审批工作流，修正后重新触发STP链路，错单历史与原因分类统计</t>
        </is>
      </c>
      <c r="F49" s="5" t="inlineStr">
        <is>
          <t>错单处理T+0完成，审批链≤2级，修正后STP重触发成功率&gt;99%</t>
        </is>
      </c>
      <c r="G49" s="24" t="inlineStr">
        <is>
          <t>中</t>
        </is>
      </c>
      <c r="H49" s="8" t="n">
        <v>20</v>
      </c>
    </row>
    <row r="50" ht="28" customHeight="1">
      <c r="A50" s="5" t="inlineStr">
        <is>
          <t>现券交易系统</t>
        </is>
      </c>
      <c r="B50" s="3" t="inlineStr">
        <is>
          <t>P1</t>
        </is>
      </c>
      <c r="C50" s="3" t="inlineStr">
        <is>
          <t>F02-20</t>
        </is>
      </c>
      <c r="D50" s="4" t="inlineStr">
        <is>
          <t>跨市场净额轧差</t>
        </is>
      </c>
      <c r="E50" s="5" t="inlineStr">
        <is>
          <t>同日同券银行间+交易所成交净额轧差计算，减少资金占用，净额结果推送清算系统，轧差差异自动核对</t>
        </is>
      </c>
      <c r="F50" s="5" t="inlineStr">
        <is>
          <t>净额轧差计算准确率100%，与清算系统差异核对通过率&gt;99.9%</t>
        </is>
      </c>
      <c r="G50" s="24" t="inlineStr">
        <is>
          <t>中</t>
        </is>
      </c>
      <c r="H50" s="8" t="n">
        <v>20</v>
      </c>
    </row>
    <row r="51" ht="28" customHeight="1">
      <c r="A51" s="5" t="inlineStr">
        <is>
          <t>现券交易系统</t>
        </is>
      </c>
      <c r="B51" s="3" t="inlineStr">
        <is>
          <t>P1</t>
        </is>
      </c>
      <c r="C51" s="3" t="inlineStr">
        <is>
          <t>F02-06</t>
        </is>
      </c>
      <c r="D51" s="4" t="inlineStr">
        <is>
          <t>做市报价接口</t>
        </is>
      </c>
      <c r="E51" s="5" t="inlineStr">
        <is>
          <t>支持双边报价做市模式，库存实时刷新驱动报价价差自动调整，与做市商系统(Module 15)预留标准接口</t>
        </is>
      </c>
      <c r="F51" s="5" t="inlineStr">
        <is>
          <t>报价刷新延迟&lt;500ms，做市接口符合Module 15做市商系统对接规范</t>
        </is>
      </c>
      <c r="G51" s="24" t="inlineStr">
        <is>
          <t>中</t>
        </is>
      </c>
      <c r="H51" s="8" t="n">
        <v>10</v>
      </c>
    </row>
    <row r="52" ht="28" customHeight="1">
      <c r="A52" s="5" t="inlineStr">
        <is>
          <t>现券交易系统</t>
        </is>
      </c>
      <c r="B52" s="3" t="inlineStr">
        <is>
          <t>P1</t>
        </is>
      </c>
      <c r="C52" s="3" t="inlineStr">
        <is>
          <t>F02-21</t>
        </is>
      </c>
      <c r="D52" s="4" t="inlineStr">
        <is>
          <t>库存管理与头寸监控</t>
        </is>
      </c>
      <c r="E52" s="5" t="inlineStr">
        <is>
          <t>做市库存实时监控，目标库存区间配置，超出区间触发预警，库存归零/超限自动暂停报价，日内库存P&amp;L实时展示</t>
        </is>
      </c>
      <c r="F52" s="5" t="inlineStr">
        <is>
          <t>库存监控更新&lt;1s，超限预警触发率100%，暂停报价延迟&lt;500ms</t>
        </is>
      </c>
      <c r="G52" s="24" t="inlineStr">
        <is>
          <t>中</t>
        </is>
      </c>
      <c r="H52" s="8" t="n">
        <v>20</v>
      </c>
    </row>
    <row r="53" ht="28" customHeight="1">
      <c r="A53" s="5" t="inlineStr">
        <is>
          <t>现券交易系统</t>
        </is>
      </c>
      <c r="B53" s="3" t="inlineStr">
        <is>
          <t>P1</t>
        </is>
      </c>
      <c r="C53" s="3" t="inlineStr">
        <is>
          <t>F02-22</t>
        </is>
      </c>
      <c r="D53" s="4" t="inlineStr">
        <is>
          <t>报价P&amp;L归因</t>
        </is>
      </c>
      <c r="E53" s="5" t="inlineStr">
        <is>
          <t>做市盈亏拆分（买卖价差收益/库存持有收益/汇率收益），按券种/期限/信用等级多维度统计，日/月做市绩效报告</t>
        </is>
      </c>
      <c r="F53" s="5" t="inlineStr">
        <is>
          <t>P&amp;L归因覆盖100%做市成交，维度下钻≥4级，日报T+0生成</t>
        </is>
      </c>
      <c r="G53" s="24" t="inlineStr">
        <is>
          <t>中</t>
        </is>
      </c>
      <c r="H53" s="8" t="n">
        <v>20</v>
      </c>
    </row>
    <row r="54" ht="28" customHeight="1">
      <c r="A54" s="5" t="inlineStr">
        <is>
          <t>现券交易系统</t>
        </is>
      </c>
      <c r="B54" s="3" t="inlineStr">
        <is>
          <t>P1</t>
        </is>
      </c>
      <c r="C54" s="3" t="inlineStr">
        <is>
          <t>F02-23</t>
        </is>
      </c>
      <c r="D54" s="4" t="inlineStr">
        <is>
          <t>实时行情接入</t>
        </is>
      </c>
      <c r="E54" s="5" t="inlineStr">
        <is>
          <t>接入AMD/Bloomberg实时债券成交行情、报价行情，标准化清洗，异常跳价过滤，推送至交易终端与定价层</t>
        </is>
      </c>
      <c r="F54" s="5" t="inlineStr">
        <is>
          <t>行情延迟&lt;1s，异常行情自动过滤告警，数据完整性&gt;99.9%</t>
        </is>
      </c>
      <c r="G54" s="24" t="inlineStr">
        <is>
          <t>中</t>
        </is>
      </c>
      <c r="H54" s="8" t="n">
        <v>20</v>
      </c>
    </row>
    <row r="55" ht="28" customHeight="1">
      <c r="A55" s="5" t="inlineStr">
        <is>
          <t>现券交易系统</t>
        </is>
      </c>
      <c r="B55" s="3" t="inlineStr">
        <is>
          <t>P1</t>
        </is>
      </c>
      <c r="C55" s="3" t="inlineStr">
        <is>
          <t>F02-24</t>
        </is>
      </c>
      <c r="D55" s="4" t="inlineStr">
        <is>
          <t>利率曲线与信用利差</t>
        </is>
      </c>
      <c r="E55" s="5" t="inlineStr">
        <is>
          <t>中债估值曲线/国债收益率曲线/信用利差矩阵实时推送至交易终端，支持手动覆盖曲线点位（需审批），历史曲线回放</t>
        </is>
      </c>
      <c r="F55" s="5" t="inlineStr">
        <is>
          <t>曲线更新延迟&lt;2s，历史曲线回放支持任意交易日，覆盖率100%</t>
        </is>
      </c>
      <c r="G55" s="24" t="inlineStr">
        <is>
          <t>中</t>
        </is>
      </c>
      <c r="H55" s="8" t="n">
        <v>20</v>
      </c>
    </row>
    <row r="56" ht="28" customHeight="1">
      <c r="A56" s="5" t="inlineStr">
        <is>
          <t>现券交易系统</t>
        </is>
      </c>
      <c r="B56" s="3" t="inlineStr">
        <is>
          <t>P1</t>
        </is>
      </c>
      <c r="C56" s="3" t="inlineStr">
        <is>
          <t>F02-25</t>
        </is>
      </c>
      <c r="D56" s="4" t="inlineStr">
        <is>
          <t>债券基础数据维护</t>
        </is>
      </c>
      <c r="E56" s="5" t="inlineStr">
        <is>
          <t>债券要素（ISIN/票面/期限/评级/含权条款/付息安排/发行人）自动从中债登/Wind同步，异动实时告警，人工维护通道与审批</t>
        </is>
      </c>
      <c r="F56" s="5" t="inlineStr">
        <is>
          <t>新券上市后基础数据就绪&lt;2h，要素同步准确率&gt;99.9%</t>
        </is>
      </c>
      <c r="G56" s="25" t="inlineStr">
        <is>
          <t>低</t>
        </is>
      </c>
      <c r="H56" s="8" t="n">
        <v>15</v>
      </c>
    </row>
    <row r="57" ht="28" customHeight="1">
      <c r="A57" s="5" t="inlineStr">
        <is>
          <t>现券交易系统</t>
        </is>
      </c>
      <c r="B57" s="3" t="inlineStr">
        <is>
          <t>P1</t>
        </is>
      </c>
      <c r="C57" s="3" t="inlineStr">
        <is>
          <t>F02-26</t>
        </is>
      </c>
      <c r="D57" s="4" t="inlineStr">
        <is>
          <t>交易执行质量分析(TCA)</t>
        </is>
      </c>
      <c r="E57" s="5" t="inlineStr">
        <is>
          <t>成交价vs基准价(VWAP/到达价/中债估值)偏差统计，执行成本量化，滑点分析，按交易员/策略/品种多维度排名</t>
        </is>
      </c>
      <c r="F57" s="5" t="inlineStr">
        <is>
          <t>TCA覆盖100%成交记录，基准价偏差计算准确，报告T+1生成</t>
        </is>
      </c>
      <c r="G57" s="23" t="inlineStr">
        <is>
          <t>高</t>
        </is>
      </c>
      <c r="H57" s="8" t="n">
        <v>25</v>
      </c>
    </row>
    <row r="58" ht="28" customHeight="1">
      <c r="A58" s="5" t="inlineStr">
        <is>
          <t>现券交易系统</t>
        </is>
      </c>
      <c r="B58" s="3" t="inlineStr">
        <is>
          <t>P1</t>
        </is>
      </c>
      <c r="C58" s="3" t="inlineStr">
        <is>
          <t>F02-27</t>
        </is>
      </c>
      <c r="D58" s="4" t="inlineStr">
        <is>
          <t>监管报送支持</t>
        </is>
      </c>
      <c r="E58" s="5" t="inlineStr">
        <is>
          <t>按CFETS/人民银行/证监会格式提取成交数据，含日成交报告/大额交易申报/异常交易上报，定时自动推送，报送状态跟踪</t>
        </is>
      </c>
      <c r="F58" s="5" t="inlineStr">
        <is>
          <t>报送数据与成交记录一致性100%，定时推送准时率&gt;99.9%，推送失败自动告警重试</t>
        </is>
      </c>
      <c r="G58" s="24" t="inlineStr">
        <is>
          <t>中</t>
        </is>
      </c>
      <c r="H58" s="8" t="n">
        <v>20</v>
      </c>
    </row>
    <row r="59" ht="28" customHeight="1">
      <c r="A59" s="5" t="inlineStr">
        <is>
          <t>现券交易系统</t>
        </is>
      </c>
      <c r="B59" s="3" t="inlineStr">
        <is>
          <t>P1</t>
        </is>
      </c>
      <c r="C59" s="3" t="inlineStr">
        <is>
          <t>F02-28</t>
        </is>
      </c>
      <c r="D59" s="4" t="inlineStr">
        <is>
          <t>交易统计分析</t>
        </is>
      </c>
      <c r="E59" s="5" t="inlineStr">
        <is>
          <t>日/月/季成交量统计（按品种/期限/评级/账户/交易员维度），换手率趋势，市场份额分析，可视化Dashboard与Excel导出</t>
        </is>
      </c>
      <c r="F59" s="5" t="inlineStr">
        <is>
          <t>统计报表T+1生成，支持≥6个分析维度，Excel导出格式标准</t>
        </is>
      </c>
      <c r="G59" s="25" t="inlineStr">
        <is>
          <t>低</t>
        </is>
      </c>
      <c r="H59" s="8" t="n">
        <v>15</v>
      </c>
    </row>
    <row r="60" ht="20" customHeight="1">
      <c r="A60" s="26" t="inlineStr">
        <is>
          <t>【P2】 FOF投资系统  (FOF Investment System)</t>
        </is>
      </c>
    </row>
    <row r="61" ht="28" customHeight="1">
      <c r="A61" s="11" t="inlineStr">
        <is>
          <t>FOF投资系统</t>
        </is>
      </c>
      <c r="B61" s="10" t="inlineStr">
        <is>
          <t>P2</t>
        </is>
      </c>
      <c r="C61" s="10" t="inlineStr">
        <is>
          <t>F03-01</t>
        </is>
      </c>
      <c r="D61" s="27" t="inlineStr">
        <is>
          <t>管理人与基金基础信息</t>
        </is>
      </c>
      <c r="E61" s="11" t="inlineStr">
        <is>
          <t>管理人黑名单维护，基金策略分类，基金基础要素（规模/净值/评级）录入与更新，管理人信息库</t>
        </is>
      </c>
      <c r="F61" s="11" t="inlineStr">
        <is>
          <t>功能测试通过</t>
        </is>
      </c>
      <c r="G61" s="25" t="inlineStr">
        <is>
          <t>低</t>
        </is>
      </c>
      <c r="H61" s="13" t="n">
        <v>15</v>
      </c>
    </row>
    <row r="62" ht="28" customHeight="1">
      <c r="A62" s="11" t="inlineStr">
        <is>
          <t>FOF投资系统</t>
        </is>
      </c>
      <c r="B62" s="10" t="inlineStr">
        <is>
          <t>P2</t>
        </is>
      </c>
      <c r="C62" s="10" t="inlineStr">
        <is>
          <t>F03-02</t>
        </is>
      </c>
      <c r="D62" s="27" t="inlineStr">
        <is>
          <t>基金资产信息获取</t>
        </is>
      </c>
      <c r="E62" s="11" t="inlineStr">
        <is>
          <t>通过邮箱/API自动获取基金资产报告，解析持仓明细并入库，多来源数据合并去重，导入工具</t>
        </is>
      </c>
      <c r="F62" s="11" t="inlineStr">
        <is>
          <t>功能测试通过/正确率100%</t>
        </is>
      </c>
      <c r="G62" s="24" t="inlineStr">
        <is>
          <t>中</t>
        </is>
      </c>
      <c r="H62" s="13" t="n">
        <v>20</v>
      </c>
    </row>
    <row r="63" ht="28" customHeight="1">
      <c r="A63" s="11" t="inlineStr">
        <is>
          <t>FOF投资系统</t>
        </is>
      </c>
      <c r="B63" s="10" t="inlineStr">
        <is>
          <t>P2</t>
        </is>
      </c>
      <c r="C63" s="10" t="inlineStr">
        <is>
          <t>F03-03</t>
        </is>
      </c>
      <c r="D63" s="27" t="inlineStr">
        <is>
          <t>子基金持仓穿透</t>
        </is>
      </c>
      <c r="E63" s="11" t="inlineStr">
        <is>
          <t>穿透底层基金持仓至个券/个股层面，合并计算组合总敞口，支持集中度与评级分布分析</t>
        </is>
      </c>
      <c r="F63" s="11" t="inlineStr">
        <is>
          <t>功能完整/边界测试/集成冒烟/性能基线</t>
        </is>
      </c>
      <c r="G63" s="23" t="inlineStr">
        <is>
          <t>高</t>
        </is>
      </c>
      <c r="H63" s="13" t="n">
        <v>25</v>
      </c>
    </row>
    <row r="64" ht="28" customHeight="1">
      <c r="A64" s="11" t="inlineStr">
        <is>
          <t>FOF投资系统</t>
        </is>
      </c>
      <c r="B64" s="10" t="inlineStr">
        <is>
          <t>P2</t>
        </is>
      </c>
      <c r="C64" s="10" t="inlineStr">
        <is>
          <t>F03-04</t>
        </is>
      </c>
      <c r="D64" s="27" t="inlineStr">
        <is>
          <t>交易录入与审核</t>
        </is>
      </c>
      <c r="E64" s="11" t="inlineStr">
        <is>
          <t>申购/赎回/换仓交易录入，交易明细管理，双级审核工作流（投资助理录入→风控复核），审批记录留痕</t>
        </is>
      </c>
      <c r="F64" s="11" t="inlineStr">
        <is>
          <t>功能测试通过/正确率100%</t>
        </is>
      </c>
      <c r="G64" s="24" t="inlineStr">
        <is>
          <t>中</t>
        </is>
      </c>
      <c r="H64" s="13" t="n">
        <v>20</v>
      </c>
    </row>
    <row r="65" ht="28" customHeight="1">
      <c r="A65" s="11" t="inlineStr">
        <is>
          <t>FOF投资系统</t>
        </is>
      </c>
      <c r="B65" s="10" t="inlineStr">
        <is>
          <t>P2</t>
        </is>
      </c>
      <c r="C65" s="10" t="inlineStr">
        <is>
          <t>F03-05</t>
        </is>
      </c>
      <c r="D65" s="27" t="inlineStr">
        <is>
          <t>申赎情况跟踪</t>
        </is>
      </c>
      <c r="E65" s="11" t="inlineStr">
        <is>
          <t>子基金申购/赎回状态全生命周期跟踪，到账确认，净值更新后自动触发持仓重算</t>
        </is>
      </c>
      <c r="F65" s="11" t="inlineStr">
        <is>
          <t>功能测试通过/正确率100%</t>
        </is>
      </c>
      <c r="G65" s="24" t="inlineStr">
        <is>
          <t>中</t>
        </is>
      </c>
      <c r="H65" s="13" t="n">
        <v>15</v>
      </c>
    </row>
    <row r="66" ht="28" customHeight="1">
      <c r="A66" s="11" t="inlineStr">
        <is>
          <t>FOF投资系统</t>
        </is>
      </c>
      <c r="B66" s="10" t="inlineStr">
        <is>
          <t>P2</t>
        </is>
      </c>
      <c r="C66" s="10" t="inlineStr">
        <is>
          <t>F03-06</t>
        </is>
      </c>
      <c r="D66" s="27" t="inlineStr">
        <is>
          <t>组合风控报告生成</t>
        </is>
      </c>
      <c r="E66" s="11" t="inlineStr">
        <is>
          <t>按管理人策略限制/投资占比限制/白名单分类/子基金申赎情况生成风控日报和周报</t>
        </is>
      </c>
      <c r="F66" s="11" t="inlineStr">
        <is>
          <t>功能测试通过/正确率100%</t>
        </is>
      </c>
      <c r="G66" s="24" t="inlineStr">
        <is>
          <t>中</t>
        </is>
      </c>
      <c r="H66" s="13" t="n">
        <v>20</v>
      </c>
    </row>
    <row r="67" ht="28" customHeight="1">
      <c r="A67" s="11" t="inlineStr">
        <is>
          <t>FOF投资系统</t>
        </is>
      </c>
      <c r="B67" s="10" t="inlineStr">
        <is>
          <t>P2</t>
        </is>
      </c>
      <c r="C67" s="10" t="inlineStr">
        <is>
          <t>F03-07</t>
        </is>
      </c>
      <c r="D67" s="27" t="inlineStr">
        <is>
          <t>报告推送与查阅</t>
        </is>
      </c>
      <c r="E67" s="11" t="inlineStr">
        <is>
          <t>风控日报/周报自动推送给风控人员，支持在线查看与下载，历史报告归档查询</t>
        </is>
      </c>
      <c r="F67" s="11" t="inlineStr">
        <is>
          <t>功能测试通过</t>
        </is>
      </c>
      <c r="G67" s="25" t="inlineStr">
        <is>
          <t>低</t>
        </is>
      </c>
      <c r="H67" s="13" t="n">
        <v>10</v>
      </c>
    </row>
    <row r="68" ht="20" customHeight="1">
      <c r="A68" s="22" t="inlineStr">
        <is>
          <t>【P1】 FICC风险计量平台  (FICC Risk Measurement Platform)</t>
        </is>
      </c>
    </row>
    <row r="69" ht="28" customHeight="1">
      <c r="A69" s="5" t="inlineStr">
        <is>
          <t>FICC风险计量平台</t>
        </is>
      </c>
      <c r="B69" s="3" t="inlineStr">
        <is>
          <t>P1</t>
        </is>
      </c>
      <c r="C69" s="3" t="inlineStr">
        <is>
          <t>F04-01</t>
        </is>
      </c>
      <c r="D69" s="4" t="inlineStr">
        <is>
          <t>组合What-if分析</t>
        </is>
      </c>
      <c r="E69" s="5" t="inlineStr">
        <is>
          <t>What-if情景建模，Duration &amp; Convexity影响分析，VaR贡献分解，风险因子敞口，集中度分析</t>
        </is>
      </c>
      <c r="F69" s="5" t="inlineStr">
        <is>
          <t>功能完整/边界测试/集成冒烟/性能基线</t>
        </is>
      </c>
      <c r="G69" s="23" t="inlineStr">
        <is>
          <t>高</t>
        </is>
      </c>
      <c r="H69" s="8" t="n">
        <v>30</v>
      </c>
    </row>
    <row r="70" ht="28" customHeight="1">
      <c r="A70" s="5" t="inlineStr">
        <is>
          <t>FICC风险计量平台</t>
        </is>
      </c>
      <c r="B70" s="3" t="inlineStr">
        <is>
          <t>P1</t>
        </is>
      </c>
      <c r="C70" s="3" t="inlineStr">
        <is>
          <t>F04-02</t>
        </is>
      </c>
      <c r="D70" s="4" t="inlineStr">
        <is>
          <t>授权敞口分析</t>
        </is>
      </c>
      <c r="E70" s="5" t="inlineStr">
        <is>
          <t>交易前限额验证，交易对手/集中度/监管/组合约束多维度限额检查，Pre-trade拦截</t>
        </is>
      </c>
      <c r="F70" s="5" t="inlineStr">
        <is>
          <t>功能完整/边界测试/集成冒烟/性能基线</t>
        </is>
      </c>
      <c r="G70" s="23" t="inlineStr">
        <is>
          <t>高</t>
        </is>
      </c>
      <c r="H70" s="8" t="n">
        <v>25</v>
      </c>
    </row>
    <row r="71" ht="28" customHeight="1">
      <c r="A71" s="5" t="inlineStr">
        <is>
          <t>FICC风险计量平台</t>
        </is>
      </c>
      <c r="B71" s="3" t="inlineStr">
        <is>
          <t>P1</t>
        </is>
      </c>
      <c r="C71" s="3" t="inlineStr">
        <is>
          <t>F04-03</t>
        </is>
      </c>
      <c r="D71" s="4" t="inlineStr">
        <is>
          <t>投资预测分析</t>
        </is>
      </c>
      <c r="E71" s="5" t="inlineStr">
        <is>
          <t>P&amp;L与风险归因预测建模，收益率曲线/利差/波动率因子预测，组合构建优化，多情景对比分析</t>
        </is>
      </c>
      <c r="F71" s="5" t="inlineStr">
        <is>
          <t>p99延迟/误差率/精度验证/压测10k TPS</t>
        </is>
      </c>
      <c r="G71" s="28" t="inlineStr">
        <is>
          <t>极高</t>
        </is>
      </c>
      <c r="H71" s="8" t="n">
        <v>35</v>
      </c>
    </row>
    <row r="72" ht="28" customHeight="1">
      <c r="A72" s="5" t="inlineStr">
        <is>
          <t>FICC风险计量平台</t>
        </is>
      </c>
      <c r="B72" s="3" t="inlineStr">
        <is>
          <t>P1</t>
        </is>
      </c>
      <c r="C72" s="3" t="inlineStr">
        <is>
          <t>F04-04</t>
        </is>
      </c>
      <c r="D72" s="4" t="inlineStr">
        <is>
          <t>实时风险计量</t>
        </is>
      </c>
      <c r="E72" s="5" t="inlineStr">
        <is>
          <t>Real-time DV01/CS01，Live VaR，Dynamic Greeks，日内P&amp;L与归因，风险限额利用率实时展示</t>
        </is>
      </c>
      <c r="F72" s="5" t="inlineStr">
        <is>
          <t>p99延迟/误差率/精度验证/压测10k TPS</t>
        </is>
      </c>
      <c r="G72" s="28" t="inlineStr">
        <is>
          <t>极高</t>
        </is>
      </c>
      <c r="H72" s="8" t="n">
        <v>40</v>
      </c>
    </row>
    <row r="73" ht="28" customHeight="1">
      <c r="A73" s="5" t="inlineStr">
        <is>
          <t>FICC风险计量平台</t>
        </is>
      </c>
      <c r="B73" s="3" t="inlineStr">
        <is>
          <t>P1</t>
        </is>
      </c>
      <c r="C73" s="3" t="inlineStr">
        <is>
          <t>F04-05</t>
        </is>
      </c>
      <c r="D73" s="4" t="inlineStr">
        <is>
          <t>交易对手风险实时监控</t>
        </is>
      </c>
      <c r="E73" s="5" t="inlineStr">
        <is>
          <t>实时敞口聚合，抵押品监控，信用限额使用率，结算风险，净额结算协议管理</t>
        </is>
      </c>
      <c r="F73" s="5" t="inlineStr">
        <is>
          <t>功能完整/边界测试/集成冒烟/性能基线</t>
        </is>
      </c>
      <c r="G73" s="23" t="inlineStr">
        <is>
          <t>高</t>
        </is>
      </c>
      <c r="H73" s="8" t="n">
        <v>30</v>
      </c>
    </row>
    <row r="74" ht="28" customHeight="1">
      <c r="A74" s="5" t="inlineStr">
        <is>
          <t>FICC风险计量平台</t>
        </is>
      </c>
      <c r="B74" s="3" t="inlineStr">
        <is>
          <t>P1</t>
        </is>
      </c>
      <c r="C74" s="3" t="inlineStr">
        <is>
          <t>F04-06</t>
        </is>
      </c>
      <c r="D74" s="4" t="inlineStr">
        <is>
          <t>流动性分析与交易成本</t>
        </is>
      </c>
      <c r="E74" s="5" t="inlineStr">
        <is>
          <t>执行风险监控，市场冲击分析，流动性成本追踪，滑点计量，最优执行合规</t>
        </is>
      </c>
      <c r="F74" s="5" t="inlineStr">
        <is>
          <t>功能完整/边界测试/集成冒烟/性能基线</t>
        </is>
      </c>
      <c r="G74" s="23" t="inlineStr">
        <is>
          <t>高</t>
        </is>
      </c>
      <c r="H74" s="8" t="n">
        <v>25</v>
      </c>
    </row>
    <row r="75" ht="28" customHeight="1">
      <c r="A75" s="5" t="inlineStr">
        <is>
          <t>FICC风险计量平台</t>
        </is>
      </c>
      <c r="B75" s="3" t="inlineStr">
        <is>
          <t>P1</t>
        </is>
      </c>
      <c r="C75" s="3" t="inlineStr">
        <is>
          <t>F04-07</t>
        </is>
      </c>
      <c r="D75" s="4" t="inlineStr">
        <is>
          <t>实时风险全景图</t>
        </is>
      </c>
      <c r="E75" s="5" t="inlineStr">
        <is>
          <t>实时持仓追踪，流式风险指标，实时限额监控，告警管理，异常跟踪仪表板</t>
        </is>
      </c>
      <c r="F75" s="5" t="inlineStr">
        <is>
          <t>功能完整/边界测试/集成冒烟/性能基线</t>
        </is>
      </c>
      <c r="G75" s="23" t="inlineStr">
        <is>
          <t>高</t>
        </is>
      </c>
      <c r="H75" s="8" t="n">
        <v>25</v>
      </c>
    </row>
    <row r="76" ht="28" customHeight="1">
      <c r="A76" s="5" t="inlineStr">
        <is>
          <t>FICC风险计量平台</t>
        </is>
      </c>
      <c r="B76" s="3" t="inlineStr">
        <is>
          <t>P1</t>
        </is>
      </c>
      <c r="C76" s="3" t="inlineStr">
        <is>
          <t>F04-08</t>
        </is>
      </c>
      <c r="D76" s="4" t="inlineStr">
        <is>
          <t>DV01/CS01计算</t>
        </is>
      </c>
      <c r="E76" s="5" t="inlineStr">
        <is>
          <t>dPV/dy价格敏感度，信用利差敏感度，分桶移动与关键期限，平行与非平行冲击</t>
        </is>
      </c>
      <c r="F76" s="5" t="inlineStr">
        <is>
          <t>p99延迟/误差率/精度验证/压测10k TPS</t>
        </is>
      </c>
      <c r="G76" s="28" t="inlineStr">
        <is>
          <t>极高</t>
        </is>
      </c>
      <c r="H76" s="8" t="n">
        <v>40</v>
      </c>
    </row>
    <row r="77" ht="28" customHeight="1">
      <c r="A77" s="5" t="inlineStr">
        <is>
          <t>FICC风险计量平台</t>
        </is>
      </c>
      <c r="B77" s="3" t="inlineStr">
        <is>
          <t>P1</t>
        </is>
      </c>
      <c r="C77" s="3" t="inlineStr">
        <is>
          <t>F04-09</t>
        </is>
      </c>
      <c r="D77" s="4" t="inlineStr">
        <is>
          <t>Greeks与敏感度计算</t>
        </is>
      </c>
      <c r="E77" s="5" t="inlineStr">
        <is>
          <t>Delta/Gamma/Vega/Theta/Rho分布式实时计算，覆盖固收全品种与衍生品</t>
        </is>
      </c>
      <c r="F77" s="5" t="inlineStr">
        <is>
          <t>p99延迟/误差率/精度验证/压测10k TPS</t>
        </is>
      </c>
      <c r="G77" s="28" t="inlineStr">
        <is>
          <t>极高</t>
        </is>
      </c>
      <c r="H77" s="8" t="n">
        <v>35</v>
      </c>
    </row>
    <row r="78" ht="28" customHeight="1">
      <c r="A78" s="5" t="inlineStr">
        <is>
          <t>FICC风险计量平台</t>
        </is>
      </c>
      <c r="B78" s="3" t="inlineStr">
        <is>
          <t>P1</t>
        </is>
      </c>
      <c r="C78" s="3" t="inlineStr">
        <is>
          <t>F04-10</t>
        </is>
      </c>
      <c r="D78" s="4" t="inlineStr">
        <is>
          <t>VaR模型</t>
        </is>
      </c>
      <c r="E78" s="5" t="inlineStr">
        <is>
          <t>参数法/历史模拟法/蒙特卡洛三模式，Expected Shortfall (ES)，回测与例外检验</t>
        </is>
      </c>
      <c r="F78" s="5" t="inlineStr">
        <is>
          <t>p99延迟/误差率/精度验证/压测10k TPS</t>
        </is>
      </c>
      <c r="G78" s="28" t="inlineStr">
        <is>
          <t>极高</t>
        </is>
      </c>
      <c r="H78" s="8" t="n">
        <v>50</v>
      </c>
    </row>
    <row r="79" ht="28" customHeight="1">
      <c r="A79" s="5" t="inlineStr">
        <is>
          <t>FICC风险计量平台</t>
        </is>
      </c>
      <c r="B79" s="3" t="inlineStr">
        <is>
          <t>P1</t>
        </is>
      </c>
      <c r="C79" s="3" t="inlineStr">
        <is>
          <t>F04-11</t>
        </is>
      </c>
      <c r="D79" s="4" t="inlineStr">
        <is>
          <t>压力测试与情景分析</t>
        </is>
      </c>
      <c r="E79" s="5" t="inlineStr">
        <is>
          <t>内置历史情景（GFC/COVID-19/利率冲击），假设情景（曲线扭转/利差走阔），反向压力测试</t>
        </is>
      </c>
      <c r="F79" s="5" t="inlineStr">
        <is>
          <t>功能完整/边界测试/集成冒烟/性能基线</t>
        </is>
      </c>
      <c r="G79" s="23" t="inlineStr">
        <is>
          <t>高</t>
        </is>
      </c>
      <c r="H79" s="8" t="n">
        <v>35</v>
      </c>
    </row>
    <row r="80" ht="28" customHeight="1">
      <c r="A80" s="5" t="inlineStr">
        <is>
          <t>FICC风险计量平台</t>
        </is>
      </c>
      <c r="B80" s="3" t="inlineStr">
        <is>
          <t>P1</t>
        </is>
      </c>
      <c r="C80" s="3" t="inlineStr">
        <is>
          <t>F04-12</t>
        </is>
      </c>
      <c r="D80" s="4" t="inlineStr">
        <is>
          <t>估值与盈亏分解</t>
        </is>
      </c>
      <c r="E80" s="5" t="inlineStr">
        <is>
          <t>Carry &amp; Roll-down，曲线效应，信用利差贡献，择券贡献，基于因子的盈亏多维分解</t>
        </is>
      </c>
      <c r="F80" s="5" t="inlineStr">
        <is>
          <t>功能完整/边界测试/集成冒烟/性能基线</t>
        </is>
      </c>
      <c r="G80" s="23" t="inlineStr">
        <is>
          <t>高</t>
        </is>
      </c>
      <c r="H80" s="8" t="n">
        <v>30</v>
      </c>
    </row>
    <row r="81" ht="28" customHeight="1">
      <c r="A81" s="5" t="inlineStr">
        <is>
          <t>FICC风险计量平台</t>
        </is>
      </c>
      <c r="B81" s="3" t="inlineStr">
        <is>
          <t>P1</t>
        </is>
      </c>
      <c r="C81" s="3" t="inlineStr">
        <is>
          <t>F04-13</t>
        </is>
      </c>
      <c r="D81" s="4" t="inlineStr">
        <is>
          <t>历史风险回溯</t>
        </is>
      </c>
      <c r="E81" s="5" t="inlineStr">
        <is>
          <t>历史VaR计算回放，压力测试结果归档，风险趋势分析，限额例外统计，VaR回测报告</t>
        </is>
      </c>
      <c r="F81" s="5" t="inlineStr">
        <is>
          <t>功能测试通过/正确率100%</t>
        </is>
      </c>
      <c r="G81" s="24" t="inlineStr">
        <is>
          <t>中</t>
        </is>
      </c>
      <c r="H81" s="8" t="n">
        <v>20</v>
      </c>
    </row>
    <row r="82" ht="28" customHeight="1">
      <c r="A82" s="5" t="inlineStr">
        <is>
          <t>FICC风险计量平台</t>
        </is>
      </c>
      <c r="B82" s="3" t="inlineStr">
        <is>
          <t>P1</t>
        </is>
      </c>
      <c r="C82" s="3" t="inlineStr">
        <is>
          <t>F04-14</t>
        </is>
      </c>
      <c r="D82" s="4" t="inlineStr">
        <is>
          <t>绩效归因与风险计量</t>
        </is>
      </c>
      <c r="E82" s="5" t="inlineStr">
        <is>
          <t>收益率曲线效应，信用利差分解，行业配置效应，个券择券，Carry &amp; Roll-down贡献</t>
        </is>
      </c>
      <c r="F82" s="5" t="inlineStr">
        <is>
          <t>功能完整/边界测试/集成冒烟/性能基线</t>
        </is>
      </c>
      <c r="G82" s="23" t="inlineStr">
        <is>
          <t>高</t>
        </is>
      </c>
      <c r="H82" s="8" t="n">
        <v>30</v>
      </c>
    </row>
    <row r="83" ht="28" customHeight="1">
      <c r="A83" s="5" t="inlineStr">
        <is>
          <t>FICC风险计量平台</t>
        </is>
      </c>
      <c r="B83" s="3" t="inlineStr">
        <is>
          <t>P1</t>
        </is>
      </c>
      <c r="C83" s="3" t="inlineStr">
        <is>
          <t>F04-15</t>
        </is>
      </c>
      <c r="D83" s="4" t="inlineStr">
        <is>
          <t>监管报表与风控日报</t>
        </is>
      </c>
      <c r="E83" s="5" t="inlineStr">
        <is>
          <t>日/周/月风险报告自动生成，监管资本计算，Basel III/FRTB报送，压力测试摘要，风险归因仪表板</t>
        </is>
      </c>
      <c r="F83" s="5" t="inlineStr">
        <is>
          <t>功能测试通过/正确率100%</t>
        </is>
      </c>
      <c r="G83" s="24" t="inlineStr">
        <is>
          <t>中</t>
        </is>
      </c>
      <c r="H83" s="8" t="n">
        <v>20</v>
      </c>
    </row>
    <row r="84" ht="28" customHeight="1">
      <c r="A84" s="5" t="inlineStr">
        <is>
          <t>FICC风险计量平台</t>
        </is>
      </c>
      <c r="B84" s="3" t="inlineStr">
        <is>
          <t>P1</t>
        </is>
      </c>
      <c r="C84" s="3" t="inlineStr">
        <is>
          <t>F04-16</t>
        </is>
      </c>
      <c r="D84" s="4" t="inlineStr">
        <is>
          <t>数据底座与IBOR集成</t>
        </is>
      </c>
      <c r="E84" s="5" t="inlineStr">
        <is>
          <t>实时持仓追踪（事件溯源架构），全公司持仓聚合，实时数据验证与自动清洗，审计追踪</t>
        </is>
      </c>
      <c r="F84" s="5" t="inlineStr">
        <is>
          <t>功能完整/边界测试/集成冒烟/性能基线</t>
        </is>
      </c>
      <c r="G84" s="23" t="inlineStr">
        <is>
          <t>高</t>
        </is>
      </c>
      <c r="H84" s="8" t="n">
        <v>30</v>
      </c>
    </row>
    <row r="85" ht="28" customHeight="1">
      <c r="A85" s="5" t="inlineStr">
        <is>
          <t>FICC风险计量平台</t>
        </is>
      </c>
      <c r="B85" s="3" t="inlineStr">
        <is>
          <t>P1</t>
        </is>
      </c>
      <c r="C85" s="3" t="inlineStr">
        <is>
          <t>F04-17</t>
        </is>
      </c>
      <c r="D85" s="4" t="inlineStr">
        <is>
          <t>收益率曲线与波动率曲面</t>
        </is>
      </c>
      <c r="E85" s="5" t="inlineStr">
        <is>
          <t>利率曲线构建（多方法），波动率曲面，信用利差曲线，红利曲线，全公司一致性保障</t>
        </is>
      </c>
      <c r="F85" s="5" t="inlineStr">
        <is>
          <t>功能完整/边界测试/集成冒烟/性能基线</t>
        </is>
      </c>
      <c r="G85" s="23" t="inlineStr">
        <is>
          <t>高</t>
        </is>
      </c>
      <c r="H85" s="8" t="n">
        <v>30</v>
      </c>
    </row>
    <row r="86" ht="28" customHeight="1">
      <c r="A86" s="5" t="inlineStr">
        <is>
          <t>FICC风险计量平台</t>
        </is>
      </c>
      <c r="B86" s="3" t="inlineStr">
        <is>
          <t>P1</t>
        </is>
      </c>
      <c r="C86" s="3" t="inlineStr">
        <is>
          <t>F04-18</t>
        </is>
      </c>
      <c r="D86" s="4" t="inlineStr">
        <is>
          <t>HPC计算网格</t>
        </is>
      </c>
      <c r="E86" s="5" t="inlineStr">
        <is>
          <t>分布式计算引擎，并行蒙特卡洛，压力测试网格调度，弹性扩容，p99计算延迟&lt;5s</t>
        </is>
      </c>
      <c r="F86" s="5" t="inlineStr">
        <is>
          <t>p99延迟/误差率/精度验证/压测10k TPS</t>
        </is>
      </c>
      <c r="G86" s="28" t="inlineStr">
        <is>
          <t>极高</t>
        </is>
      </c>
      <c r="H86" s="8" t="n">
        <v>40</v>
      </c>
    </row>
    <row r="87" ht="28" customHeight="1">
      <c r="A87" s="5" t="inlineStr">
        <is>
          <t>FICC风险计量平台</t>
        </is>
      </c>
      <c r="B87" s="3" t="inlineStr">
        <is>
          <t>P1</t>
        </is>
      </c>
      <c r="C87" s="3" t="inlineStr">
        <is>
          <t>F04-19</t>
        </is>
      </c>
      <c r="D87" s="4" t="inlineStr">
        <is>
          <t>AI风险预警</t>
        </is>
      </c>
      <c r="E87" s="5" t="inlineStr">
        <is>
          <t>异常检测（ML模型），预测性分析，模式识别，智能告警，新业务合规风险预分析</t>
        </is>
      </c>
      <c r="F87" s="5" t="inlineStr">
        <is>
          <t>功能完整/边界测试/集成冒烟/性能基线</t>
        </is>
      </c>
      <c r="G87" s="23" t="inlineStr">
        <is>
          <t>高</t>
        </is>
      </c>
      <c r="H87" s="8" t="n">
        <v>30</v>
      </c>
    </row>
    <row r="88" ht="20" customHeight="1">
      <c r="A88" s="22" t="inlineStr">
        <is>
          <t>【P1】 异常交易风控  (Abnormal Trade Monitor)</t>
        </is>
      </c>
    </row>
    <row r="89" ht="28" customHeight="1">
      <c r="A89" s="5" t="inlineStr">
        <is>
          <t>异常交易风控</t>
        </is>
      </c>
      <c r="B89" s="3" t="inlineStr">
        <is>
          <t>P1</t>
        </is>
      </c>
      <c r="C89" s="3" t="inlineStr">
        <is>
          <t>F05-01</t>
        </is>
      </c>
      <c r="D89" s="4" t="inlineStr">
        <is>
          <t>LLM大语言模型应用</t>
        </is>
      </c>
      <c r="E89" s="5" t="inlineStr">
        <is>
          <t>客户意图识别，自然语言处理交易描述，智能报告自动生成，新规合规解读</t>
        </is>
      </c>
      <c r="F89" s="5" t="inlineStr">
        <is>
          <t>p99延迟/误差率/精度验证/压测10k TPS</t>
        </is>
      </c>
      <c r="G89" s="28" t="inlineStr">
        <is>
          <t>极高</t>
        </is>
      </c>
      <c r="H89" s="8" t="n">
        <v>40</v>
      </c>
    </row>
    <row r="90" ht="28" customHeight="1">
      <c r="A90" s="5" t="inlineStr">
        <is>
          <t>异常交易风控</t>
        </is>
      </c>
      <c r="B90" s="3" t="inlineStr">
        <is>
          <t>P1</t>
        </is>
      </c>
      <c r="C90" s="3" t="inlineStr">
        <is>
          <t>F05-02</t>
        </is>
      </c>
      <c r="D90" s="4" t="inlineStr">
        <is>
          <t>RAG检索增强生成</t>
        </is>
      </c>
      <c r="E90" s="5" t="inlineStr">
        <is>
          <t>监管规则知识库构建，新规则智能固化，合规智能问答，上下文理解与规则推理</t>
        </is>
      </c>
      <c r="F90" s="5" t="inlineStr">
        <is>
          <t>功能完整/边界测试/集成冒烟/性能基线</t>
        </is>
      </c>
      <c r="G90" s="23" t="inlineStr">
        <is>
          <t>高</t>
        </is>
      </c>
      <c r="H90" s="8" t="n">
        <v>30</v>
      </c>
    </row>
    <row r="91" ht="28" customHeight="1">
      <c r="A91" s="5" t="inlineStr">
        <is>
          <t>异常交易风控</t>
        </is>
      </c>
      <c r="B91" s="3" t="inlineStr">
        <is>
          <t>P1</t>
        </is>
      </c>
      <c r="C91" s="3" t="inlineStr">
        <is>
          <t>F05-03</t>
        </is>
      </c>
      <c r="D91" s="4" t="inlineStr">
        <is>
          <t>Agent智能体</t>
        </is>
      </c>
      <c r="E91" s="5" t="inlineStr">
        <is>
          <t>异常处置任务自动化，决策支持工作流，多步骤异常核查流程优化，自动推送处置建议</t>
        </is>
      </c>
      <c r="F91" s="5" t="inlineStr">
        <is>
          <t>功能完整/边界测试/集成冒烟/性能基线</t>
        </is>
      </c>
      <c r="G91" s="23" t="inlineStr">
        <is>
          <t>高</t>
        </is>
      </c>
      <c r="H91" s="8" t="n">
        <v>30</v>
      </c>
    </row>
    <row r="92" ht="28" customHeight="1">
      <c r="A92" s="5" t="inlineStr">
        <is>
          <t>异常交易风控</t>
        </is>
      </c>
      <c r="B92" s="3" t="inlineStr">
        <is>
          <t>P1</t>
        </is>
      </c>
      <c r="C92" s="3" t="inlineStr">
        <is>
          <t>F05-04</t>
        </is>
      </c>
      <c r="D92" s="4" t="inlineStr">
        <is>
          <t>MCP外部服务集成</t>
        </is>
      </c>
      <c r="E92" s="5" t="inlineStr">
        <is>
          <t>外部数据源调用接口，固化规则调用标准协议，与行情/持仓/交易系统数据对接</t>
        </is>
      </c>
      <c r="F92" s="5" t="inlineStr">
        <is>
          <t>功能测试通过/正确率100%</t>
        </is>
      </c>
      <c r="G92" s="24" t="inlineStr">
        <is>
          <t>中</t>
        </is>
      </c>
      <c r="H92" s="8" t="n">
        <v>20</v>
      </c>
    </row>
    <row r="93" ht="28" customHeight="1">
      <c r="A93" s="5" t="inlineStr">
        <is>
          <t>异常交易风控</t>
        </is>
      </c>
      <c r="B93" s="3" t="inlineStr">
        <is>
          <t>P1</t>
        </is>
      </c>
      <c r="C93" s="3" t="inlineStr">
        <is>
          <t>F05-05</t>
        </is>
      </c>
      <c r="D93" s="4" t="inlineStr">
        <is>
          <t>代持与反向交易识别</t>
        </is>
      </c>
      <c r="E93" s="5" t="inlineStr">
        <is>
          <t>代持相关交易检测，同券同额反向识别，多日反向低频交易模式识别</t>
        </is>
      </c>
      <c r="F93" s="5" t="inlineStr">
        <is>
          <t>功能完整/边界测试/集成冒烟/性能基线</t>
        </is>
      </c>
      <c r="G93" s="23" t="inlineStr">
        <is>
          <t>高</t>
        </is>
      </c>
      <c r="H93" s="8" t="n">
        <v>25</v>
      </c>
    </row>
    <row r="94" ht="28" customHeight="1">
      <c r="A94" s="5" t="inlineStr">
        <is>
          <t>异常交易风控</t>
        </is>
      </c>
      <c r="B94" s="3" t="inlineStr">
        <is>
          <t>P1</t>
        </is>
      </c>
      <c r="C94" s="3" t="inlineStr">
        <is>
          <t>F05-06</t>
        </is>
      </c>
      <c r="D94" s="4" t="inlineStr">
        <is>
          <t>价格行为异常检测</t>
        </is>
      </c>
      <c r="E94" s="5" t="inlineStr">
        <is>
          <t>高买低卖行为识别，信用债价格异常检测，基于历史分位数与实时行情动态偏离度计算</t>
        </is>
      </c>
      <c r="F94" s="5" t="inlineStr">
        <is>
          <t>功能完整/边界测试/集成冒烟/性能基线</t>
        </is>
      </c>
      <c r="G94" s="23" t="inlineStr">
        <is>
          <t>高</t>
        </is>
      </c>
      <c r="H94" s="8" t="n">
        <v>25</v>
      </c>
    </row>
    <row r="95" ht="28" customHeight="1">
      <c r="A95" s="5" t="inlineStr">
        <is>
          <t>异常交易风控</t>
        </is>
      </c>
      <c r="B95" s="3" t="inlineStr">
        <is>
          <t>P1</t>
        </is>
      </c>
      <c r="C95" s="3" t="inlineStr">
        <is>
          <t>F05-07</t>
        </is>
      </c>
      <c r="D95" s="4" t="inlineStr">
        <is>
          <t>交易对手异常监控</t>
        </is>
      </c>
      <c r="E95" s="5" t="inlineStr">
        <is>
          <t>同一交易对手频繁交易预警，多次修改交易对手行为识别，持仓结构异常检测</t>
        </is>
      </c>
      <c r="F95" s="5" t="inlineStr">
        <is>
          <t>功能完整/边界测试/集成冒烟/性能基线</t>
        </is>
      </c>
      <c r="G95" s="23" t="inlineStr">
        <is>
          <t>高</t>
        </is>
      </c>
      <c r="H95" s="8" t="n">
        <v>20</v>
      </c>
    </row>
    <row r="96" ht="28" customHeight="1">
      <c r="A96" s="5" t="inlineStr">
        <is>
          <t>异常交易风控</t>
        </is>
      </c>
      <c r="B96" s="3" t="inlineStr">
        <is>
          <t>P1</t>
        </is>
      </c>
      <c r="C96" s="3" t="inlineStr">
        <is>
          <t>F05-08</t>
        </is>
      </c>
      <c r="D96" s="4" t="inlineStr">
        <is>
          <t>交易量异常检测</t>
        </is>
      </c>
      <c r="E96" s="5" t="inlineStr">
        <is>
          <t>交易量统计异常识别，集中度异常告警，与历史基准对比的量级偏离检测</t>
        </is>
      </c>
      <c r="F96" s="5" t="inlineStr">
        <is>
          <t>功能测试通过/正确率100%</t>
        </is>
      </c>
      <c r="G96" s="24" t="inlineStr">
        <is>
          <t>中</t>
        </is>
      </c>
      <c r="H96" s="8" t="n">
        <v>15</v>
      </c>
    </row>
    <row r="97" ht="28" customHeight="1">
      <c r="A97" s="5" t="inlineStr">
        <is>
          <t>异常交易风控</t>
        </is>
      </c>
      <c r="B97" s="3" t="inlineStr">
        <is>
          <t>P1</t>
        </is>
      </c>
      <c r="C97" s="3" t="inlineStr">
        <is>
          <t>F05-09</t>
        </is>
      </c>
      <c r="D97" s="4" t="inlineStr">
        <is>
          <t>动态规则管理</t>
        </is>
      </c>
      <c r="E97" s="5" t="inlineStr">
        <is>
          <t>异常模式智能探索与规则固化，No-Code规则配置界面，合规人员自助维护，规则版本管理</t>
        </is>
      </c>
      <c r="F97" s="5" t="inlineStr">
        <is>
          <t>功能测试通过/正确率100%</t>
        </is>
      </c>
      <c r="G97" s="24" t="inlineStr">
        <is>
          <t>中</t>
        </is>
      </c>
      <c r="H97" s="8" t="n">
        <v>20</v>
      </c>
    </row>
    <row r="98" ht="28" customHeight="1">
      <c r="A98" s="5" t="inlineStr">
        <is>
          <t>异常交易风控</t>
        </is>
      </c>
      <c r="B98" s="3" t="inlineStr">
        <is>
          <t>P1</t>
        </is>
      </c>
      <c r="C98" s="3" t="inlineStr">
        <is>
          <t>F05-10</t>
        </is>
      </c>
      <c r="D98" s="4" t="inlineStr">
        <is>
          <t>异常交易定位</t>
        </is>
      </c>
      <c r="E98" s="5" t="inlineStr">
        <is>
          <t>按时间范围快速查找历史异常交易，标记异常类型，可视化展示异常分布与趋势</t>
        </is>
      </c>
      <c r="F98" s="5" t="inlineStr">
        <is>
          <t>功能测试通过/正确率100%</t>
        </is>
      </c>
      <c r="G98" s="24" t="inlineStr">
        <is>
          <t>中</t>
        </is>
      </c>
      <c r="H98" s="8" t="n">
        <v>15</v>
      </c>
    </row>
    <row r="99" ht="28" customHeight="1">
      <c r="A99" s="5" t="inlineStr">
        <is>
          <t>异常交易风控</t>
        </is>
      </c>
      <c r="B99" s="3" t="inlineStr">
        <is>
          <t>P1</t>
        </is>
      </c>
      <c r="C99" s="3" t="inlineStr">
        <is>
          <t>F05-11</t>
        </is>
      </c>
      <c r="D99" s="4" t="inlineStr">
        <is>
          <t>数据上传校验</t>
        </is>
      </c>
      <c r="E99" s="5" t="inlineStr">
        <is>
          <t>支持用户上传交易数据文件，瞬时完成异常交易校验并输出校验结果报告</t>
        </is>
      </c>
      <c r="F99" s="5" t="inlineStr">
        <is>
          <t>功能测试通过/正确率100%</t>
        </is>
      </c>
      <c r="G99" s="24" t="inlineStr">
        <is>
          <t>中</t>
        </is>
      </c>
      <c r="H99" s="8" t="n">
        <v>15</v>
      </c>
    </row>
    <row r="100" ht="28" customHeight="1">
      <c r="A100" s="5" t="inlineStr">
        <is>
          <t>异常交易风控</t>
        </is>
      </c>
      <c r="B100" s="3" t="inlineStr">
        <is>
          <t>P1</t>
        </is>
      </c>
      <c r="C100" s="3" t="inlineStr">
        <is>
          <t>F05-12</t>
        </is>
      </c>
      <c r="D100" s="4" t="inlineStr">
        <is>
          <t>智能报告生成</t>
        </is>
      </c>
      <c r="E100" s="5" t="inlineStr">
        <is>
          <t>模板自定义与场景数据一键应用，监管报送格式（证监会/人行），新业务过会合规分析报告</t>
        </is>
      </c>
      <c r="F100" s="5" t="inlineStr">
        <is>
          <t>功能测试通过/正确率100%</t>
        </is>
      </c>
      <c r="G100" s="24" t="inlineStr">
        <is>
          <t>中</t>
        </is>
      </c>
      <c r="H100" s="8" t="n">
        <v>20</v>
      </c>
    </row>
    <row r="101" ht="20" customHeight="1">
      <c r="A101" s="22" t="inlineStr">
        <is>
          <t>【P1】 事前风控/合规  (Pre-trade Risk &amp; Compliance)</t>
        </is>
      </c>
    </row>
    <row r="102" ht="28" customHeight="1">
      <c r="A102" s="5" t="inlineStr">
        <is>
          <t>事前风控/合规</t>
        </is>
      </c>
      <c r="B102" s="3" t="inlineStr">
        <is>
          <t>P1</t>
        </is>
      </c>
      <c r="C102" s="3" t="inlineStr">
        <is>
          <t>F06-01</t>
        </is>
      </c>
      <c r="D102" s="4" t="inlineStr">
        <is>
          <t>风控规则配置</t>
        </is>
      </c>
      <c r="E102" s="5" t="inlineStr">
        <is>
          <t>风控人员在页面配置事前风控条款，支持按需调整，规则版本管理，内置监管规则库（1000+条）</t>
        </is>
      </c>
      <c r="F102" s="5" t="inlineStr">
        <is>
          <t>功能完整/边界测试/集成冒烟/性能基线</t>
        </is>
      </c>
      <c r="G102" s="23" t="inlineStr">
        <is>
          <t>高</t>
        </is>
      </c>
      <c r="H102" s="8" t="n">
        <v>30</v>
      </c>
    </row>
    <row r="103" ht="28" customHeight="1">
      <c r="A103" s="5" t="inlineStr">
        <is>
          <t>事前风控/合规</t>
        </is>
      </c>
      <c r="B103" s="3" t="inlineStr">
        <is>
          <t>P1</t>
        </is>
      </c>
      <c r="C103" s="3" t="inlineStr">
        <is>
          <t>F06-02</t>
        </is>
      </c>
      <c r="D103" s="4" t="inlineStr">
        <is>
          <t>多维度限额配置</t>
        </is>
      </c>
      <c r="E103" s="5" t="inlineStr">
        <is>
          <t>交易对手/交易员/券三维度限额设置，集中度/净敞口/利率敏感度/单笔名义多类型限额</t>
        </is>
      </c>
      <c r="F103" s="5" t="inlineStr">
        <is>
          <t>功能完整/边界测试/集成冒烟/性能基线</t>
        </is>
      </c>
      <c r="G103" s="23" t="inlineStr">
        <is>
          <t>高</t>
        </is>
      </c>
      <c r="H103" s="8" t="n">
        <v>25</v>
      </c>
    </row>
    <row r="104" ht="28" customHeight="1">
      <c r="A104" s="5" t="inlineStr">
        <is>
          <t>事前风控/合规</t>
        </is>
      </c>
      <c r="B104" s="3" t="inlineStr">
        <is>
          <t>P1</t>
        </is>
      </c>
      <c r="C104" s="3" t="inlineStr">
        <is>
          <t>F06-03</t>
        </is>
      </c>
      <c r="D104" s="4" t="inlineStr">
        <is>
          <t>白黑名单管理</t>
        </is>
      </c>
      <c r="E104" s="5" t="inlineStr">
        <is>
          <t>证券/交易对手监管限制名单实时同步，支持手工维护，拦截违规交易</t>
        </is>
      </c>
      <c r="F104" s="5" t="inlineStr">
        <is>
          <t>功能测试通过/正确率100%</t>
        </is>
      </c>
      <c r="G104" s="24" t="inlineStr">
        <is>
          <t>中</t>
        </is>
      </c>
      <c r="H104" s="8" t="n">
        <v>15</v>
      </c>
    </row>
    <row r="105" ht="28" customHeight="1">
      <c r="A105" s="5" t="inlineStr">
        <is>
          <t>事前风控/合规</t>
        </is>
      </c>
      <c r="B105" s="3" t="inlineStr">
        <is>
          <t>P1</t>
        </is>
      </c>
      <c r="C105" s="3" t="inlineStr">
        <is>
          <t>F06-04</t>
        </is>
      </c>
      <c r="D105" s="4" t="inlineStr">
        <is>
          <t>实时事前风控拦截</t>
        </is>
      </c>
      <c r="E105" s="5" t="inlineStr">
        <is>
          <t>交易录入时同步三维度校验（交易对手/交易员/券），不通过即时拦截并告知原因，支持发衡泰前校验</t>
        </is>
      </c>
      <c r="F105" s="5" t="inlineStr">
        <is>
          <t>p99延迟/误差率/精度验证/压测10k TPS</t>
        </is>
      </c>
      <c r="G105" s="28" t="inlineStr">
        <is>
          <t>极高</t>
        </is>
      </c>
      <c r="H105" s="8" t="n">
        <v>25</v>
      </c>
    </row>
    <row r="106" ht="28" customHeight="1">
      <c r="A106" s="5" t="inlineStr">
        <is>
          <t>事前风控/合规</t>
        </is>
      </c>
      <c r="B106" s="3" t="inlineStr">
        <is>
          <t>P1</t>
        </is>
      </c>
      <c r="C106" s="3" t="inlineStr">
        <is>
          <t>F06-05</t>
        </is>
      </c>
      <c r="D106" s="4" t="inlineStr">
        <is>
          <t>异常报备工作流</t>
        </is>
      </c>
      <c r="E106" s="5" t="inlineStr">
        <is>
          <t>触发异常条款后交易界面即时弹出提示，用户填写异常报备信息后方可提交，确保合规留痕</t>
        </is>
      </c>
      <c r="F106" s="5" t="inlineStr">
        <is>
          <t>功能测试通过/正确率100%</t>
        </is>
      </c>
      <c r="G106" s="24" t="inlineStr">
        <is>
          <t>中</t>
        </is>
      </c>
      <c r="H106" s="8" t="n">
        <v>20</v>
      </c>
    </row>
    <row r="107" ht="28" customHeight="1">
      <c r="A107" s="5" t="inlineStr">
        <is>
          <t>事前风控/合规</t>
        </is>
      </c>
      <c r="B107" s="3" t="inlineStr">
        <is>
          <t>P1</t>
        </is>
      </c>
      <c r="C107" s="3" t="inlineStr">
        <is>
          <t>F06-06</t>
        </is>
      </c>
      <c r="D107" s="4" t="inlineStr">
        <is>
          <t>AI聊天合规监控</t>
        </is>
      </c>
      <c r="E107" s="5" t="inlineStr">
        <is>
          <t>AI自动抓取所有交易对手聊天记录，按客户/券归类并保持时间顺序，实时监控潜在聊天违规并提醒交易员</t>
        </is>
      </c>
      <c r="F107" s="5" t="inlineStr">
        <is>
          <t>功能完整/边界测试/集成冒烟/性能基线</t>
        </is>
      </c>
      <c r="G107" s="23" t="inlineStr">
        <is>
          <t>高</t>
        </is>
      </c>
      <c r="H107" s="8" t="n">
        <v>30</v>
      </c>
    </row>
    <row r="108" ht="28" customHeight="1">
      <c r="A108" s="5" t="inlineStr">
        <is>
          <t>事前风控/合规</t>
        </is>
      </c>
      <c r="B108" s="3" t="inlineStr">
        <is>
          <t>P1</t>
        </is>
      </c>
      <c r="C108" s="3" t="inlineStr">
        <is>
          <t>F06-07</t>
        </is>
      </c>
      <c r="D108" s="4" t="inlineStr">
        <is>
          <t>AI交易要素提取</t>
        </is>
      </c>
      <c r="E108" s="5" t="inlineStr">
        <is>
          <t>询价意向达成后AI自动从聊天记录生成交易要素（债券/数量/价格/对手方），减少手工录入错误</t>
        </is>
      </c>
      <c r="F108" s="5" t="inlineStr">
        <is>
          <t>功能完整/边界测试/集成冒烟/性能基线</t>
        </is>
      </c>
      <c r="G108" s="23" t="inlineStr">
        <is>
          <t>高</t>
        </is>
      </c>
      <c r="H108" s="8" t="n">
        <v>25</v>
      </c>
    </row>
    <row r="109" ht="28" customHeight="1">
      <c r="A109" s="5" t="inlineStr">
        <is>
          <t>事前风控/合规</t>
        </is>
      </c>
      <c r="B109" s="3" t="inlineStr">
        <is>
          <t>P1</t>
        </is>
      </c>
      <c r="C109" s="3" t="inlineStr">
        <is>
          <t>F06-08</t>
        </is>
      </c>
      <c r="D109" s="4" t="inlineStr">
        <is>
          <t>日内异常统计看板</t>
        </is>
      </c>
      <c r="E109" s="5" t="inlineStr">
        <is>
          <t>实时查看日内异常触发记录及处理情况，全面掌握团队执行进度与风控落实效果</t>
        </is>
      </c>
      <c r="F109" s="5" t="inlineStr">
        <is>
          <t>功能测试通过/正确率100%</t>
        </is>
      </c>
      <c r="G109" s="24" t="inlineStr">
        <is>
          <t>中</t>
        </is>
      </c>
      <c r="H109" s="8" t="n">
        <v>15</v>
      </c>
    </row>
    <row r="110" ht="28" customHeight="1">
      <c r="A110" s="5" t="inlineStr">
        <is>
          <t>事前风控/合规</t>
        </is>
      </c>
      <c r="B110" s="3" t="inlineStr">
        <is>
          <t>P1</t>
        </is>
      </c>
      <c r="C110" s="3" t="inlineStr">
        <is>
          <t>F06-09</t>
        </is>
      </c>
      <c r="D110" s="4" t="inlineStr">
        <is>
          <t>合规审批工作流</t>
        </is>
      </c>
      <c r="E110" s="5" t="inlineStr">
        <is>
          <t>超限申请→多级审批→记录全流程，支持移动端审批，审批结果实时推送</t>
        </is>
      </c>
      <c r="F110" s="5" t="inlineStr">
        <is>
          <t>功能测试通过/正确率100%</t>
        </is>
      </c>
      <c r="G110" s="24" t="inlineStr">
        <is>
          <t>中</t>
        </is>
      </c>
      <c r="H110" s="8" t="n">
        <v>15</v>
      </c>
    </row>
    <row r="111" ht="28" customHeight="1">
      <c r="A111" s="5" t="inlineStr">
        <is>
          <t>事前风控/合规</t>
        </is>
      </c>
      <c r="B111" s="3" t="inlineStr">
        <is>
          <t>P1</t>
        </is>
      </c>
      <c r="C111" s="3" t="inlineStr">
        <is>
          <t>F06-10</t>
        </is>
      </c>
      <c r="D111" s="4" t="inlineStr">
        <is>
          <t>责任留痕与审计追踪</t>
        </is>
      </c>
      <c r="E111" s="5" t="inlineStr">
        <is>
          <t>所有交易录入、拦截、报备、审批操作全程留痕，可追溯，监管现场检查时一键提取证据包</t>
        </is>
      </c>
      <c r="F111" s="5" t="inlineStr">
        <is>
          <t>功能测试通过/正确率100%</t>
        </is>
      </c>
      <c r="G111" s="24" t="inlineStr">
        <is>
          <t>中</t>
        </is>
      </c>
      <c r="H111" s="8" t="n">
        <v>15</v>
      </c>
    </row>
    <row r="112" ht="20" customHeight="1">
      <c r="A112" s="22" t="inlineStr">
        <is>
          <t>【P1】 组合管理+绩效归因  (Portfolio Mgmt &amp; Perf)</t>
        </is>
      </c>
    </row>
    <row r="113" ht="28" customHeight="1">
      <c r="A113" s="5" t="inlineStr">
        <is>
          <t>组合管理+绩效归因</t>
        </is>
      </c>
      <c r="B113" s="3" t="inlineStr">
        <is>
          <t>P1</t>
        </is>
      </c>
      <c r="C113" s="3" t="inlineStr">
        <is>
          <t>F07-01</t>
        </is>
      </c>
      <c r="D113" s="4" t="inlineStr">
        <is>
          <t>全资产统一持仓模型</t>
        </is>
      </c>
      <c r="E113" s="5" t="inlineStr">
        <is>
          <t>八类资产（利率债/信用债/权益/基金/黄金/商品/衍生品/非标）实时T+0持仓，多层组合树（公司→部门→策略→子组合→投资经理），穿透式敞口展示（品种/久期/评级/行业/地区分布），真实组合+Shadow Portfolio并行展示</t>
        </is>
      </c>
      <c r="F113" s="5" t="inlineStr">
        <is>
          <t>T+0持仓实时刷新，穿透层级≥5层，数据与IBOR差异&lt;0.01%</t>
        </is>
      </c>
      <c r="G113" s="23" t="inlineStr">
        <is>
          <t>高</t>
        </is>
      </c>
      <c r="H113" s="8" t="n">
        <v>40</v>
      </c>
    </row>
    <row r="114" ht="28" customHeight="1">
      <c r="A114" s="5" t="inlineStr">
        <is>
          <t>组合管理+绩效归因</t>
        </is>
      </c>
      <c r="B114" s="3" t="inlineStr">
        <is>
          <t>P1</t>
        </is>
      </c>
      <c r="C114" s="3" t="inlineStr">
        <is>
          <t>F07-02</t>
        </is>
      </c>
      <c r="D114" s="4" t="inlineStr">
        <is>
          <t>跨资产相关性分析</t>
        </is>
      </c>
      <c r="E114" s="5" t="inlineStr">
        <is>
          <t>全持仓跨资产相关矩阵（股/债/商品/衍生品/基金），多窗口滚动（20/60/252日），压力情景相关性vs历史相关性对比，动态相关性漂移预警，分散化比率(Diversification Ratio)计算，低相关候选资产推荐</t>
        </is>
      </c>
      <c r="F114" s="5" t="inlineStr">
        <is>
          <t>相关矩阵计算&lt;30s（500券组合），动态漂移预警阈值可配</t>
        </is>
      </c>
      <c r="G114" s="23" t="inlineStr">
        <is>
          <t>高</t>
        </is>
      </c>
      <c r="H114" s="8" t="n">
        <v>30</v>
      </c>
    </row>
    <row r="115" ht="28" customHeight="1">
      <c r="A115" s="5" t="inlineStr">
        <is>
          <t>组合管理+绩效归因</t>
        </is>
      </c>
      <c r="B115" s="3" t="inlineStr">
        <is>
          <t>P1</t>
        </is>
      </c>
      <c r="C115" s="3" t="inlineStr">
        <is>
          <t>F07-03</t>
        </is>
      </c>
      <c r="D115" s="4" t="inlineStr">
        <is>
          <t>相对价值分析</t>
        </is>
      </c>
      <c r="E115" s="5" t="inlineStr">
        <is>
          <t>利差/Z-spread/OAS相对价值计算，历史分位数定位（覆盖5年），跨品种套利信号识别，债券横截面信号挖掘（利差/久期偏差），时序均值回归分析</t>
        </is>
      </c>
      <c r="F115" s="5" t="inlineStr">
        <is>
          <t>OAS计算误差&lt;1bps，历史分位数覆盖5年，横截面信号与实际收益相关性&gt;0.3</t>
        </is>
      </c>
      <c r="G115" s="23" t="inlineStr">
        <is>
          <t>高</t>
        </is>
      </c>
      <c r="H115" s="8" t="n">
        <v>30</v>
      </c>
    </row>
    <row r="116" ht="28" customHeight="1">
      <c r="A116" s="5" t="inlineStr">
        <is>
          <t>组合管理+绩效归因</t>
        </is>
      </c>
      <c r="B116" s="3" t="inlineStr">
        <is>
          <t>P1</t>
        </is>
      </c>
      <c r="C116" s="3" t="inlineStr">
        <is>
          <t>F07-04</t>
        </is>
      </c>
      <c r="D116" s="4" t="inlineStr">
        <is>
          <t>QP智能再平衡引擎</t>
        </is>
      </c>
      <c r="E116" s="5" t="inlineStr">
        <is>
          <t>二次规划多目标优化（最小化跟踪误差+交易摩擦+融资成本+IFRS9波动），500+约束（合规/风险预算/流动性/IFRS9），2000+持仓毫秒级求解，支持整数规划（面值/手数取整），多期优化（含到期券），三种触发（定时/事件/手动），一键生成交易指令</t>
        </is>
      </c>
      <c r="F116" s="5" t="inlineStr">
        <is>
          <t>QP求解2000持仓&lt;200ms，约束满足率100%，调仓前后TE对比即时输出</t>
        </is>
      </c>
      <c r="G116" s="23" t="inlineStr">
        <is>
          <t>高</t>
        </is>
      </c>
      <c r="H116" s="8" t="n">
        <v>40</v>
      </c>
    </row>
    <row r="117" ht="28" customHeight="1">
      <c r="A117" s="5" t="inlineStr">
        <is>
          <t>组合管理+绩效归因</t>
        </is>
      </c>
      <c r="B117" s="3" t="inlineStr">
        <is>
          <t>P1</t>
        </is>
      </c>
      <c r="C117" s="3" t="inlineStr">
        <is>
          <t>F07-05</t>
        </is>
      </c>
      <c r="D117" s="4" t="inlineStr">
        <is>
          <t>Shadow Portfolio虚拟试算</t>
        </is>
      </c>
      <c r="E117" s="5" t="inlineStr">
        <is>
          <t>100+虚拟组合与真实组合并行运行，多维试算（增减仓/换仓/加杠杆/新资产类别），即时显示试算后风险指标/归因/相关性/预期收益，真实vs虚拟所有指标差异对比视图，冲击成本预估</t>
        </is>
      </c>
      <c r="F117" s="5" t="inlineStr">
        <is>
          <t>虚拟组合模拟与真实执行偏差&lt;0.3%，秒级响应</t>
        </is>
      </c>
      <c r="G117" s="23" t="inlineStr">
        <is>
          <t>高</t>
        </is>
      </c>
      <c r="H117" s="8" t="n">
        <v>30</v>
      </c>
    </row>
    <row r="118" ht="28" customHeight="1">
      <c r="A118" s="5" t="inlineStr">
        <is>
          <t>组合管理+绩效归因</t>
        </is>
      </c>
      <c r="B118" s="3" t="inlineStr">
        <is>
          <t>P1</t>
        </is>
      </c>
      <c r="C118" s="3" t="inlineStr">
        <is>
          <t>F07-06</t>
        </is>
      </c>
      <c r="D118" s="4" t="inlineStr">
        <is>
          <t>资产配置策略分析</t>
        </is>
      </c>
      <c r="E118" s="5" t="inlineStr">
        <is>
          <t>SAA战略→TAA战术精准联动（投委会指令直接转化为因子约束输入QP引擎），宏观因子（利率/信用/流动性周期）驱动大类资产配置模型，动态权重优化，历史回测验证（≥5年），固收+策略P&amp;L归因（债券底仓+衍生品增强）</t>
        </is>
      </c>
      <c r="F118" s="5" t="inlineStr">
        <is>
          <t>回测期≥5年，预测方向胜率&gt;55%，SAA→TAA指令转化全程无人工干预</t>
        </is>
      </c>
      <c r="G118" s="23" t="inlineStr">
        <is>
          <t>高</t>
        </is>
      </c>
      <c r="H118" s="8" t="n">
        <v>40</v>
      </c>
    </row>
    <row r="119" ht="28" customHeight="1">
      <c r="A119" s="5" t="inlineStr">
        <is>
          <t>组合管理+绩效归因</t>
        </is>
      </c>
      <c r="B119" s="3" t="inlineStr">
        <is>
          <t>P1</t>
        </is>
      </c>
      <c r="C119" s="3" t="inlineStr">
        <is>
          <t>F07-07</t>
        </is>
      </c>
      <c r="D119" s="4" t="inlineStr">
        <is>
          <t>Campisi 2.0 固收绩效归因</t>
        </is>
      </c>
      <c r="E119" s="5" t="inlineStr">
        <is>
          <t>固定收益五效应完整拆解：①收入效应（票息+摊销），②国债效应（利率平移/曲线斜率/曲率三效应分离，用Key Rate Duration精确映射），③利差效应（DTS贡献/行业配置效应/个券选择效应），④交易效应（择时Alpha或损耗量化），⑤残差校验（&lt;5bp合格）；日/周/月/季多维度报告自动生成</t>
        </is>
      </c>
      <c r="F119" s="5" t="inlineStr">
        <is>
          <t>五效应合计与实际收益残差&lt;5bps，T+1 9:00前自动报告</t>
        </is>
      </c>
      <c r="G119" s="23" t="inlineStr">
        <is>
          <t>高</t>
        </is>
      </c>
      <c r="H119" s="8" t="n">
        <v>40</v>
      </c>
    </row>
    <row r="120" ht="28" customHeight="1">
      <c r="A120" s="5" t="inlineStr">
        <is>
          <t>组合管理+绩效归因</t>
        </is>
      </c>
      <c r="B120" s="3" t="inlineStr">
        <is>
          <t>P1</t>
        </is>
      </c>
      <c r="C120" s="3" t="inlineStr">
        <is>
          <t>F07-08</t>
        </is>
      </c>
      <c r="D120" s="4" t="inlineStr">
        <is>
          <t>Brinson 资产组合绩效归因</t>
        </is>
      </c>
      <c r="E120" s="5" t="inlineStr">
        <is>
          <t>三效应：大类资产配置效应（超/低配决策贡献）/个券选择效应（同类标的选择Alpha）/交互效应，支持多层穿透（资产大类→行业→子行业→个股/个基），FOF基金穿透底层持仓，日/月/季/年累计归因趋势，投资经理能力量化排名</t>
        </is>
      </c>
      <c r="F120" s="5" t="inlineStr">
        <is>
          <t>Brinson结果与Bloomberg AIM误差&lt;0.1%，穿透层级≥4层</t>
        </is>
      </c>
      <c r="G120" s="23" t="inlineStr">
        <is>
          <t>高</t>
        </is>
      </c>
      <c r="H120" s="8" t="n">
        <v>35</v>
      </c>
    </row>
    <row r="121" ht="28" customHeight="1">
      <c r="A121" s="5" t="inlineStr">
        <is>
          <t>组合管理+绩效归因</t>
        </is>
      </c>
      <c r="B121" s="3" t="inlineStr">
        <is>
          <t>P1</t>
        </is>
      </c>
      <c r="C121" s="3" t="inlineStr">
        <is>
          <t>F07-09</t>
        </is>
      </c>
      <c r="D121" s="4" t="inlineStr">
        <is>
          <t>指数跟踪误差与主动风险归因</t>
        </is>
      </c>
      <c r="E121" s="5" t="inlineStr">
        <is>
          <t>对标中债综合/信用/政策行等基准指数，跟踪误差（TE）日频监控，TE分解（配置效应TE+选券效应TE+协方差），信息比率（IR）实时监控（目标IR&gt;0.5，预警IR连续3月&lt;0），超额Alpha三因子分解</t>
        </is>
      </c>
      <c r="F121" s="5" t="inlineStr">
        <is>
          <t>TE计算误差&lt;1bps，支持≥10基准指数，IR预警自动推送</t>
        </is>
      </c>
      <c r="G121" s="24" t="inlineStr">
        <is>
          <t>中</t>
        </is>
      </c>
      <c r="H121" s="8" t="n">
        <v>25</v>
      </c>
    </row>
    <row r="122" ht="28" customHeight="1">
      <c r="A122" s="5" t="inlineStr">
        <is>
          <t>组合管理+绩效归因</t>
        </is>
      </c>
      <c r="B122" s="3" t="inlineStr">
        <is>
          <t>P1</t>
        </is>
      </c>
      <c r="C122" s="3" t="inlineStr">
        <is>
          <t>F07-10</t>
        </is>
      </c>
      <c r="D122" s="4" t="inlineStr">
        <is>
          <t>因子风险分解 + MCTR边际风险贡献</t>
        </is>
      </c>
      <c r="E122" s="5" t="inlineStr">
        <is>
          <t>全持仓分解为2200+风险因子（利率/信用/权益/商品/汇率），系统性风险+特异性风险分离；MCTR边际风险贡献（∂组合波动率/∂持仓权重），风险消耗排名（识别"风险大户"），减仓/加仓优先级引导，风险预算仪表盘（已用/剩余/预警线三档）</t>
        </is>
      </c>
      <c r="F122" s="5" t="inlineStr">
        <is>
          <t>因子模型解释方差&gt;80%，MCTR实时更新延迟&lt;5s，Alpha IC均值&gt;0.05</t>
        </is>
      </c>
      <c r="G122" s="23" t="inlineStr">
        <is>
          <t>高</t>
        </is>
      </c>
      <c r="H122" s="8" t="n">
        <v>40</v>
      </c>
    </row>
    <row r="123" ht="28" customHeight="1">
      <c r="A123" s="5" t="inlineStr">
        <is>
          <t>组合管理+绩效归因</t>
        </is>
      </c>
      <c r="B123" s="3" t="inlineStr">
        <is>
          <t>P1</t>
        </is>
      </c>
      <c r="C123" s="3" t="inlineStr">
        <is>
          <t>F07-11</t>
        </is>
      </c>
      <c r="D123" s="4" t="inlineStr">
        <is>
          <t>Component VaR 四层穿透分析</t>
        </is>
      </c>
      <c r="E123" s="5" t="inlineStr">
        <is>
          <t>VaR四层穿透：资产类别VaR→行业/子市场VaR→评级/信用质量VaR→单一发行人Component VaR，含跨类分散化收益量化；三种方法互验（历史模拟500日99%置信度/Monte Carlo 10000次/参数解析法），方法差异超阈值自动预警</t>
        </is>
      </c>
      <c r="F123" s="5" t="inlineStr">
        <is>
          <t>三方法VaR差异&lt;10%，穿透至发行人层，全量计算&lt;1min</t>
        </is>
      </c>
      <c r="G123" s="23" t="inlineStr">
        <is>
          <t>高</t>
        </is>
      </c>
      <c r="H123" s="8" t="n">
        <v>35</v>
      </c>
    </row>
    <row r="124" ht="28" customHeight="1">
      <c r="A124" s="5" t="inlineStr">
        <is>
          <t>组合管理+绩效归因</t>
        </is>
      </c>
      <c r="B124" s="3" t="inlineStr">
        <is>
          <t>P1</t>
        </is>
      </c>
      <c r="C124" s="3" t="inlineStr">
        <is>
          <t>F07-12</t>
        </is>
      </c>
      <c r="D124" s="4" t="inlineStr">
        <is>
          <t>敏感度分析（多维Shock Grid）</t>
        </is>
      </c>
      <c r="E124" s="5" t="inlineStr">
        <is>
          <t>利率敏感度（DV01/关键期限点KRD/凸性），信用敏感度（CS01/DTS分评级/分行业），权益敏感度（Delta/Beta/行业Beta），商品汇率敏感度；利率×信用利差二维冲击矩阵（Shock Grid），识别最脆弱组合方向，对冲比率建议</t>
        </is>
      </c>
      <c r="F124" s="5" t="inlineStr">
        <is>
          <t>DV01与Bloomberg基准误差&lt;0.5bps，Shock Grid 5×5矩阵实时刷新</t>
        </is>
      </c>
      <c r="G124" s="23" t="inlineStr">
        <is>
          <t>高</t>
        </is>
      </c>
      <c r="H124" s="8" t="n">
        <v>30</v>
      </c>
    </row>
    <row r="125" ht="28" customHeight="1">
      <c r="A125" s="5" t="inlineStr">
        <is>
          <t>组合管理+绩效归因</t>
        </is>
      </c>
      <c r="B125" s="3" t="inlineStr">
        <is>
          <t>P1</t>
        </is>
      </c>
      <c r="C125" s="3" t="inlineStr">
        <is>
          <t>F07-13</t>
        </is>
      </c>
      <c r="D125" s="4" t="inlineStr">
        <is>
          <t>情景分析与压力测试</t>
        </is>
      </c>
      <c r="E125" s="5" t="inlineStr">
        <is>
          <t>三层：①历史情景重演（924行情/2019包商/2013钱荒/2015股灾等8+事件，含冲击参数还原），②假设情景模拟（自定义任意冲击组合，即时P&amp;L输出+应急对冲建议），③反向压力测试（倒推触发止损线的临界市场情景+历史发生频率），≥20情景并行</t>
        </is>
      </c>
      <c r="F125" s="5" t="inlineStr">
        <is>
          <t>历史情景复现误差&lt;1%，情景P&amp;L误差&lt;0.5%，支持≥20情景并行</t>
        </is>
      </c>
      <c r="G125" s="23" t="inlineStr">
        <is>
          <t>高</t>
        </is>
      </c>
      <c r="H125" s="8" t="n">
        <v>35</v>
      </c>
    </row>
    <row r="126" ht="28" customHeight="1">
      <c r="A126" s="5" t="inlineStr">
        <is>
          <t>组合管理+绩效归因</t>
        </is>
      </c>
      <c r="B126" s="3" t="inlineStr">
        <is>
          <t>P1</t>
        </is>
      </c>
      <c r="C126" s="3" t="inlineStr">
        <is>
          <t>F07-14</t>
        </is>
      </c>
      <c r="D126" s="4" t="inlineStr">
        <is>
          <t>流动性风险管理（LVaR）</t>
        </is>
      </c>
      <c r="E126" s="5" t="inlineStr">
        <is>
          <t>逐持仓变现能力评估（规模/日均成交量→变现天数），Almgren-Chriss市场冲击成本模型，流动性压力测试（X天内变现Y亿最优路径+成本），流动性调整VaR（LVaR=传统VaR+流动性溢价），流动性覆盖率/缓冲监控（1/3/5/10日分层），回购到期日历</t>
        </is>
      </c>
      <c r="F126" s="5" t="inlineStr">
        <is>
          <t>LVaR与市场基准误差&lt;5%，日均成交量覆盖≥95%持仓，变现路径建议&lt;3s</t>
        </is>
      </c>
      <c r="G126" s="24" t="inlineStr">
        <is>
          <t>中</t>
        </is>
      </c>
      <c r="H126" s="8" t="n">
        <v>25</v>
      </c>
    </row>
    <row r="127" ht="28" customHeight="1">
      <c r="A127" s="5" t="inlineStr">
        <is>
          <t>组合管理+绩效归因</t>
        </is>
      </c>
      <c r="B127" s="3" t="inlineStr">
        <is>
          <t>P1</t>
        </is>
      </c>
      <c r="C127" s="3" t="inlineStr">
        <is>
          <t>F07-15</t>
        </is>
      </c>
      <c r="D127" s="4" t="inlineStr">
        <is>
          <t>衍生品对冲决策引擎</t>
        </is>
      </c>
      <c r="E127" s="5" t="inlineStr">
        <is>
          <t>七类工具矩阵（国债期货2/5/10/30Y/IRS/CDS/股指期货IF/IH/IC/IM/股指期权/黄金期货/外汇远掉期），系统推荐最优对冲方案（成本最小约束），一键生成对冲指令，对冲效果追踪（前后风险指标对比/效率/执行滑点）；支持快速/精细/尾部/跨资产四种场景</t>
        </is>
      </c>
      <c r="F127" s="5" t="inlineStr">
        <is>
          <t>对冲方案推荐&lt;5s，DV01对冲误差&lt;5%，指令自动流转执行引擎</t>
        </is>
      </c>
      <c r="G127" s="23" t="inlineStr">
        <is>
          <t>高</t>
        </is>
      </c>
      <c r="H127" s="8" t="n">
        <v>30</v>
      </c>
    </row>
    <row r="128" ht="28" customHeight="1">
      <c r="A128" s="5" t="inlineStr">
        <is>
          <t>组合管理+绩效归因</t>
        </is>
      </c>
      <c r="B128" s="3" t="inlineStr">
        <is>
          <t>P1</t>
        </is>
      </c>
      <c r="C128" s="3" t="inlineStr">
        <is>
          <t>F07-16</t>
        </is>
      </c>
      <c r="D128" s="4" t="inlineStr">
        <is>
          <t>定价计算集成</t>
        </is>
      </c>
      <c r="E128" s="5" t="inlineStr">
        <is>
          <t>调用定价平台实时估值与Greeks（含权债/可转债/IRS），Redis缓存结果，Kafka推送持仓+估值变化事件，日终全量估值批处理</t>
        </is>
      </c>
      <c r="F128" s="5" t="inlineStr">
        <is>
          <t>定价API p99&lt;200ms，日终全量估值&lt;30min（10万券）</t>
        </is>
      </c>
      <c r="G128" s="23" t="inlineStr">
        <is>
          <t>高</t>
        </is>
      </c>
      <c r="H128" s="8" t="n">
        <v>20</v>
      </c>
    </row>
    <row r="129" ht="28" customHeight="1">
      <c r="A129" s="5" t="inlineStr">
        <is>
          <t>组合管理+绩效归因</t>
        </is>
      </c>
      <c r="B129" s="3" t="inlineStr">
        <is>
          <t>P1</t>
        </is>
      </c>
      <c r="C129" s="3" t="inlineStr">
        <is>
          <t>F07-17</t>
        </is>
      </c>
      <c r="D129" s="4" t="inlineStr">
        <is>
          <t>利率曲线集成</t>
        </is>
      </c>
      <c r="E129" s="5" t="inlineStr">
        <is>
          <t>多曲线实时消费（国债/政策行/AAA信用/OIS），NS参数提取（水平/斜率/曲率），关键期限点敏感度映射，曲线版本快照（供归因历史复现）</t>
        </is>
      </c>
      <c r="F129" s="5" t="inlineStr">
        <is>
          <t>曲线更新延迟&lt;1s，NS拟合R²&gt;0.999</t>
        </is>
      </c>
      <c r="G129" s="24" t="inlineStr">
        <is>
          <t>中</t>
        </is>
      </c>
      <c r="H129" s="8" t="n">
        <v>15</v>
      </c>
    </row>
    <row r="130" ht="28" customHeight="1">
      <c r="A130" s="5" t="inlineStr">
        <is>
          <t>组合管理+绩效归因</t>
        </is>
      </c>
      <c r="B130" s="3" t="inlineStr">
        <is>
          <t>P1</t>
        </is>
      </c>
      <c r="C130" s="3" t="inlineStr">
        <is>
          <t>F07-18</t>
        </is>
      </c>
      <c r="D130" s="4" t="inlineStr">
        <is>
          <t>因子模型</t>
        </is>
      </c>
      <c r="E130" s="5" t="inlineStr">
        <is>
          <t>多因子风险模型（2200+风险因子：利率/信用/流动性/权益Beta/行业/风格/商品/汇率），Alpha因子库（≥20因子，IC均值&gt;0.05），因子暴露实时计算与历史追踪，因子风险贡献预算管理</t>
        </is>
      </c>
      <c r="F130" s="5" t="inlineStr">
        <is>
          <t>因子模型解释方差&gt;80%，因子暴露更新延迟&lt;10s</t>
        </is>
      </c>
      <c r="G130" s="23" t="inlineStr">
        <is>
          <t>高</t>
        </is>
      </c>
      <c r="H130" s="8" t="n">
        <v>40</v>
      </c>
    </row>
    <row r="131" ht="20" customHeight="1">
      <c r="A131" s="22" t="inlineStr">
        <is>
          <t>【P1】 策略投资/量化  (Quant Strategy)</t>
        </is>
      </c>
    </row>
    <row r="132" ht="28" customHeight="1">
      <c r="A132" s="5" t="inlineStr">
        <is>
          <t>策略投资/量化</t>
        </is>
      </c>
      <c r="B132" s="3" t="inlineStr">
        <is>
          <t>P1</t>
        </is>
      </c>
      <c r="C132" s="3" t="inlineStr">
        <is>
          <t>F08-01</t>
        </is>
      </c>
      <c r="D132" s="4" t="inlineStr">
        <is>
          <t>策略编写与版本管理</t>
        </is>
      </c>
      <c r="E132" s="5" t="inlineStr">
        <is>
          <t>Python/C++策略脚本编写，沙箱隔离运行，策略版本管理，策略库分类管理（利差/基差/跨市场套利/网格/固收/量价）</t>
        </is>
      </c>
      <c r="F132" s="5" t="inlineStr">
        <is>
          <t>功能完整/边界测试/集成冒烟/性能基线</t>
        </is>
      </c>
      <c r="G132" s="23" t="inlineStr">
        <is>
          <t>高</t>
        </is>
      </c>
      <c r="H132" s="8" t="n">
        <v>40</v>
      </c>
    </row>
    <row r="133" ht="28" customHeight="1">
      <c r="A133" s="5" t="inlineStr">
        <is>
          <t>策略投资/量化</t>
        </is>
      </c>
      <c r="B133" s="3" t="inlineStr">
        <is>
          <t>P1</t>
        </is>
      </c>
      <c r="C133" s="3" t="inlineStr">
        <is>
          <t>F08-02</t>
        </is>
      </c>
      <c r="D133" s="4" t="inlineStr">
        <is>
          <t>AI辅助策略开发</t>
        </is>
      </c>
      <c r="E133" s="5" t="inlineStr">
        <is>
          <t>AI代码生成辅助，AI因子生成，AI参数优化建议，自然语言描述策略逻辑转代码</t>
        </is>
      </c>
      <c r="F133" s="5" t="inlineStr">
        <is>
          <t>功能完整/边界测试/集成冒烟/性能基线</t>
        </is>
      </c>
      <c r="G133" s="23" t="inlineStr">
        <is>
          <t>高</t>
        </is>
      </c>
      <c r="H133" s="8" t="n">
        <v>35</v>
      </c>
    </row>
    <row r="134" ht="28" customHeight="1">
      <c r="A134" s="5" t="inlineStr">
        <is>
          <t>策略投资/量化</t>
        </is>
      </c>
      <c r="B134" s="3" t="inlineStr">
        <is>
          <t>P1</t>
        </is>
      </c>
      <c r="C134" s="3" t="inlineStr">
        <is>
          <t>F08-03</t>
        </is>
      </c>
      <c r="D134" s="4" t="inlineStr">
        <is>
          <t>因子挖掘与管理</t>
        </is>
      </c>
      <c r="E134" s="5" t="inlineStr">
        <is>
          <t>因子编写，信号生成，因子库管理，AlphaLens因子有效性分析，量化模型库，宏观/技术/基本面因子</t>
        </is>
      </c>
      <c r="F134" s="5" t="inlineStr">
        <is>
          <t>功能完整/边界测试/集成冒烟/性能基线</t>
        </is>
      </c>
      <c r="G134" s="23" t="inlineStr">
        <is>
          <t>高</t>
        </is>
      </c>
      <c r="H134" s="8" t="n">
        <v>40</v>
      </c>
    </row>
    <row r="135" ht="28" customHeight="1">
      <c r="A135" s="5" t="inlineStr">
        <is>
          <t>策略投资/量化</t>
        </is>
      </c>
      <c r="B135" s="3" t="inlineStr">
        <is>
          <t>P1</t>
        </is>
      </c>
      <c r="C135" s="3" t="inlineStr">
        <is>
          <t>F08-04</t>
        </is>
      </c>
      <c r="D135" s="4" t="inlineStr">
        <is>
          <t>Tick级回测引擎</t>
        </is>
      </c>
      <c r="E135" s="5" t="inlineStr">
        <is>
          <t>Tick数据驱动回测，真实滑点/冲击模型，批量参数优化，风险计量，绩效归因，AlphaLens分析集成</t>
        </is>
      </c>
      <c r="F135" s="5" t="inlineStr">
        <is>
          <t>p99延迟/误差率/精度验证/压测10k TPS</t>
        </is>
      </c>
      <c r="G135" s="28" t="inlineStr">
        <is>
          <t>极高</t>
        </is>
      </c>
      <c r="H135" s="8" t="n">
        <v>60</v>
      </c>
    </row>
    <row r="136" ht="28" customHeight="1">
      <c r="A136" s="5" t="inlineStr">
        <is>
          <t>策略投资/量化</t>
        </is>
      </c>
      <c r="B136" s="3" t="inlineStr">
        <is>
          <t>P1</t>
        </is>
      </c>
      <c r="C136" s="3" t="inlineStr">
        <is>
          <t>F08-05</t>
        </is>
      </c>
      <c r="D136" s="4" t="inlineStr">
        <is>
          <t>模拟盘验证</t>
        </is>
      </c>
      <c r="E136" s="5" t="inlineStr">
        <is>
          <t>情景模拟，敏感度模拟，极端场景模拟，性能测试，模拟盘与实盘结果对比分析</t>
        </is>
      </c>
      <c r="F136" s="5" t="inlineStr">
        <is>
          <t>功能完整/边界测试/集成冒烟/性能基线</t>
        </is>
      </c>
      <c r="G136" s="23" t="inlineStr">
        <is>
          <t>高</t>
        </is>
      </c>
      <c r="H136" s="8" t="n">
        <v>30</v>
      </c>
    </row>
    <row r="137" ht="28" customHeight="1">
      <c r="A137" s="5" t="inlineStr">
        <is>
          <t>策略投资/量化</t>
        </is>
      </c>
      <c r="B137" s="3" t="inlineStr">
        <is>
          <t>P1</t>
        </is>
      </c>
      <c r="C137" s="3" t="inlineStr">
        <is>
          <t>F08-06</t>
        </is>
      </c>
      <c r="D137" s="4" t="inlineStr">
        <is>
          <t>策略上线审批</t>
        </is>
      </c>
      <c r="E137" s="5" t="inlineStr">
        <is>
          <t>模拟盘通过后触发上线审批流程，多级合规审核，审批留痕，参数锁定后方可实盘运行</t>
        </is>
      </c>
      <c r="F137" s="5" t="inlineStr">
        <is>
          <t>功能测试通过/正确率100%</t>
        </is>
      </c>
      <c r="G137" s="24" t="inlineStr">
        <is>
          <t>中</t>
        </is>
      </c>
      <c r="H137" s="8" t="n">
        <v>20</v>
      </c>
    </row>
    <row r="138" ht="28" customHeight="1">
      <c r="A138" s="5" t="inlineStr">
        <is>
          <t>策略投资/量化</t>
        </is>
      </c>
      <c r="B138" s="3" t="inlineStr">
        <is>
          <t>P1</t>
        </is>
      </c>
      <c r="C138" s="3" t="inlineStr">
        <is>
          <t>F08-07</t>
        </is>
      </c>
      <c r="D138" s="4" t="inlineStr">
        <is>
          <t>策略运行管理</t>
        </is>
      </c>
      <c r="E138" s="5" t="inlineStr">
        <is>
          <t>实盘策略启停管理，策略状态实时监控，支持手动干预和自动触发停止，多策略并发调度</t>
        </is>
      </c>
      <c r="F138" s="5" t="inlineStr">
        <is>
          <t>功能完整/边界测试/集成冒烟/性能基线</t>
        </is>
      </c>
      <c r="G138" s="23" t="inlineStr">
        <is>
          <t>高</t>
        </is>
      </c>
      <c r="H138" s="8" t="n">
        <v>30</v>
      </c>
    </row>
    <row r="139" ht="28" customHeight="1">
      <c r="A139" s="5" t="inlineStr">
        <is>
          <t>策略投资/量化</t>
        </is>
      </c>
      <c r="B139" s="3" t="inlineStr">
        <is>
          <t>P1</t>
        </is>
      </c>
      <c r="C139" s="3" t="inlineStr">
        <is>
          <t>F08-08</t>
        </is>
      </c>
      <c r="D139" s="4" t="inlineStr">
        <is>
          <t>策略绩效分析</t>
        </is>
      </c>
      <c r="E139" s="5" t="inlineStr">
        <is>
          <t>实时PnL/持仓/回撤/Sharpe看板，策略归因分析，与基准对比，风险触发自动平仓</t>
        </is>
      </c>
      <c r="F139" s="5" t="inlineStr">
        <is>
          <t>功能测试通过/正确率100%</t>
        </is>
      </c>
      <c r="G139" s="24" t="inlineStr">
        <is>
          <t>中</t>
        </is>
      </c>
      <c r="H139" s="8" t="n">
        <v>25</v>
      </c>
    </row>
    <row r="140" ht="28" customHeight="1">
      <c r="A140" s="5" t="inlineStr">
        <is>
          <t>策略投资/量化</t>
        </is>
      </c>
      <c r="B140" s="3" t="inlineStr">
        <is>
          <t>P1</t>
        </is>
      </c>
      <c r="C140" s="3" t="inlineStr">
        <is>
          <t>F08-09</t>
        </is>
      </c>
      <c r="D140" s="4" t="inlineStr">
        <is>
          <t>实时多市场行情</t>
        </is>
      </c>
      <c r="E140" s="5" t="inlineStr">
        <is>
          <t>现券/国债期货/股票/商品实时行情聚合展示，实时利差分析，跨市场价差监控，行情小窗</t>
        </is>
      </c>
      <c r="F140" s="5" t="inlineStr">
        <is>
          <t>功能测试通过/正确率100%</t>
        </is>
      </c>
      <c r="G140" s="24" t="inlineStr">
        <is>
          <t>中</t>
        </is>
      </c>
      <c r="H140" s="8" t="n">
        <v>20</v>
      </c>
    </row>
    <row r="141" ht="28" customHeight="1">
      <c r="A141" s="5" t="inlineStr">
        <is>
          <t>策略投资/量化</t>
        </is>
      </c>
      <c r="B141" s="3" t="inlineStr">
        <is>
          <t>P1</t>
        </is>
      </c>
      <c r="C141" s="3" t="inlineStr">
        <is>
          <t>F08-10</t>
        </is>
      </c>
      <c r="D141" s="4" t="inlineStr">
        <is>
          <t>历史行情回放</t>
        </is>
      </c>
      <c r="E141" s="5" t="inlineStr">
        <is>
          <t>现券/国债期货/股票/商品历史行情回放，支持任意时间点快照，用于回测验证和策略复盘</t>
        </is>
      </c>
      <c r="F141" s="5" t="inlineStr">
        <is>
          <t>功能测试通过/正确率100%</t>
        </is>
      </c>
      <c r="G141" s="24" t="inlineStr">
        <is>
          <t>中</t>
        </is>
      </c>
      <c r="H141" s="8" t="n">
        <v>20</v>
      </c>
    </row>
    <row r="142" ht="28" customHeight="1">
      <c r="A142" s="5" t="inlineStr">
        <is>
          <t>策略投资/量化</t>
        </is>
      </c>
      <c r="B142" s="3" t="inlineStr">
        <is>
          <t>P1</t>
        </is>
      </c>
      <c r="C142" s="3" t="inlineStr">
        <is>
          <t>F08-11</t>
        </is>
      </c>
      <c r="D142" s="4" t="inlineStr">
        <is>
          <t>CEP流引擎与信号调度</t>
        </is>
      </c>
      <c r="E142" s="5" t="inlineStr">
        <is>
          <t>复杂事件处理引擎，策略信号实时计算与调度，低延迟执行接口对接ATP超低延迟执行层</t>
        </is>
      </c>
      <c r="F142" s="5" t="inlineStr">
        <is>
          <t>p99延迟/误差率/精度验证/压测10k TPS</t>
        </is>
      </c>
      <c r="G142" s="28" t="inlineStr">
        <is>
          <t>极高</t>
        </is>
      </c>
      <c r="H142" s="8" t="n">
        <v>45</v>
      </c>
    </row>
    <row r="143" ht="28" customHeight="1">
      <c r="A143" s="5" t="inlineStr">
        <is>
          <t>策略投资/量化</t>
        </is>
      </c>
      <c r="B143" s="3" t="inlineStr">
        <is>
          <t>P1</t>
        </is>
      </c>
      <c r="C143" s="3" t="inlineStr">
        <is>
          <t>F08-12</t>
        </is>
      </c>
      <c r="D143" s="4" t="inlineStr">
        <is>
          <t>基础数据与模型底座</t>
        </is>
      </c>
      <c r="E143" s="5" t="inlineStr">
        <is>
          <t>宏观因子库，债券曲线模型，估值数据接入，账户权限管理，AI引擎集成接口</t>
        </is>
      </c>
      <c r="F143" s="5" t="inlineStr">
        <is>
          <t>功能完整/边界测试/集成冒烟/性能基线</t>
        </is>
      </c>
      <c r="G143" s="23" t="inlineStr">
        <is>
          <t>高</t>
        </is>
      </c>
      <c r="H143" s="8" t="n">
        <v>30</v>
      </c>
    </row>
    <row r="144" ht="20" customHeight="1">
      <c r="A144" s="26" t="inlineStr">
        <is>
          <t>【P2】 定价平台  (Pricing Platform)</t>
        </is>
      </c>
    </row>
    <row r="145" ht="28" customHeight="1">
      <c r="A145" s="11" t="inlineStr">
        <is>
          <t>定价平台</t>
        </is>
      </c>
      <c r="B145" s="10" t="inlineStr">
        <is>
          <t>P2</t>
        </is>
      </c>
      <c r="C145" s="10" t="inlineStr">
        <is>
          <t>F09-01</t>
        </is>
      </c>
      <c r="D145" s="27" t="inlineStr">
        <is>
          <t>期权收益结构定价</t>
        </is>
      </c>
      <c r="E145" s="11" t="inlineStr">
        <is>
          <t>香草期权/价差期权/欧式/美式/雪球/自定义期权定价，挂钩标的覆盖国债/期货/股票/指数/商品</t>
        </is>
      </c>
      <c r="F145" s="11" t="inlineStr">
        <is>
          <t>p99延迟/误差率/精度验证/压测10k TPS</t>
        </is>
      </c>
      <c r="G145" s="28" t="inlineStr">
        <is>
          <t>极高</t>
        </is>
      </c>
      <c r="H145" s="13" t="n">
        <v>60</v>
      </c>
    </row>
    <row r="146" ht="28" customHeight="1">
      <c r="A146" s="11" t="inlineStr">
        <is>
          <t>定价平台</t>
        </is>
      </c>
      <c r="B146" s="10" t="inlineStr">
        <is>
          <t>P2</t>
        </is>
      </c>
      <c r="C146" s="10" t="inlineStr">
        <is>
          <t>F09-02</t>
        </is>
      </c>
      <c r="D146" s="27" t="inlineStr">
        <is>
          <t>结构化产品定价</t>
        </is>
      </c>
      <c r="E146" s="11" t="inlineStr">
        <is>
          <t>场外期权/远期/收益凭证/收益互换/融资融券/合约型互换定价，支持自定义结构化产品</t>
        </is>
      </c>
      <c r="F146" s="11" t="inlineStr">
        <is>
          <t>p99延迟/误差率/精度验证/压测10k TPS</t>
        </is>
      </c>
      <c r="G146" s="28" t="inlineStr">
        <is>
          <t>极高</t>
        </is>
      </c>
      <c r="H146" s="13" t="n">
        <v>50</v>
      </c>
    </row>
    <row r="147" ht="28" customHeight="1">
      <c r="A147" s="11" t="inlineStr">
        <is>
          <t>定价平台</t>
        </is>
      </c>
      <c r="B147" s="10" t="inlineStr">
        <is>
          <t>P2</t>
        </is>
      </c>
      <c r="C147" s="10" t="inlineStr">
        <is>
          <t>F09-03</t>
        </is>
      </c>
      <c r="D147" s="27" t="inlineStr">
        <is>
          <t>固收品种定价</t>
        </is>
      </c>
      <c r="E147" s="11" t="inlineStr">
        <is>
          <t>固息/浮息国债，含权债，可转债精确定价，信用债估值，ABS定价</t>
        </is>
      </c>
      <c r="F147" s="11" t="inlineStr">
        <is>
          <t>功能完整/边界测试/集成冒烟/性能基线</t>
        </is>
      </c>
      <c r="G147" s="23" t="inlineStr">
        <is>
          <t>高</t>
        </is>
      </c>
      <c r="H147" s="13" t="n">
        <v>40</v>
      </c>
    </row>
    <row r="148" ht="28" customHeight="1">
      <c r="A148" s="11" t="inlineStr">
        <is>
          <t>定价平台</t>
        </is>
      </c>
      <c r="B148" s="10" t="inlineStr">
        <is>
          <t>P2</t>
        </is>
      </c>
      <c r="C148" s="10" t="inlineStr">
        <is>
          <t>F09-04</t>
        </is>
      </c>
      <c r="D148" s="27" t="inlineStr">
        <is>
          <t>利率与信用曲线构建</t>
        </is>
      </c>
      <c r="E148" s="11" t="inlineStr">
        <is>
          <t>利率曲线（多插值方法），信用利差曲线，利差曲线，违约曲线，全品种统一曲线服务</t>
        </is>
      </c>
      <c r="F148" s="11" t="inlineStr">
        <is>
          <t>p99延迟/误差率/精度验证/压测10k TPS</t>
        </is>
      </c>
      <c r="G148" s="28" t="inlineStr">
        <is>
          <t>极高</t>
        </is>
      </c>
      <c r="H148" s="13" t="n">
        <v>60</v>
      </c>
    </row>
    <row r="149" ht="28" customHeight="1">
      <c r="A149" s="11" t="inlineStr">
        <is>
          <t>定价平台</t>
        </is>
      </c>
      <c r="B149" s="10" t="inlineStr">
        <is>
          <t>P2</t>
        </is>
      </c>
      <c r="C149" s="10" t="inlineStr">
        <is>
          <t>F09-05</t>
        </is>
      </c>
      <c r="D149" s="27" t="inlineStr">
        <is>
          <t>波动率曲面构建</t>
        </is>
      </c>
      <c r="E149" s="11" t="inlineStr">
        <is>
          <t>隐含波动率曲面，红利曲线，汇率曲线，Local Volatility曲面，波动率微笑校准</t>
        </is>
      </c>
      <c r="F149" s="11" t="inlineStr">
        <is>
          <t>p99延迟/误差率/精度验证/压测10k TPS</t>
        </is>
      </c>
      <c r="G149" s="28" t="inlineStr">
        <is>
          <t>极高</t>
        </is>
      </c>
      <c r="H149" s="13" t="n">
        <v>50</v>
      </c>
    </row>
    <row r="150" ht="28" customHeight="1">
      <c r="A150" s="11" t="inlineStr">
        <is>
          <t>定价平台</t>
        </is>
      </c>
      <c r="B150" s="10" t="inlineStr">
        <is>
          <t>P2</t>
        </is>
      </c>
      <c r="C150" s="10" t="inlineStr">
        <is>
          <t>F09-06</t>
        </is>
      </c>
      <c r="D150" s="27" t="inlineStr">
        <is>
          <t>市场数据管理</t>
        </is>
      </c>
      <c r="E150" s="11" t="inlineStr">
        <is>
          <t>境内外权益/债券/外汇/商品资讯统一接入，数据清洗，异常值处理，数据质量监控</t>
        </is>
      </c>
      <c r="F150" s="11" t="inlineStr">
        <is>
          <t>功能完整/边界测试/集成冒烟/性能基线</t>
        </is>
      </c>
      <c r="G150" s="23" t="inlineStr">
        <is>
          <t>高</t>
        </is>
      </c>
      <c r="H150" s="13" t="n">
        <v>30</v>
      </c>
    </row>
    <row r="151" ht="28" customHeight="1">
      <c r="A151" s="11" t="inlineStr">
        <is>
          <t>定价平台</t>
        </is>
      </c>
      <c r="B151" s="10" t="inlineStr">
        <is>
          <t>P2</t>
        </is>
      </c>
      <c r="C151" s="10" t="inlineStr">
        <is>
          <t>F09-07</t>
        </is>
      </c>
      <c r="D151" s="27" t="inlineStr">
        <is>
          <t>蒙特卡洛求解器</t>
        </is>
      </c>
      <c r="E151" s="11" t="inlineStr">
        <is>
          <t>GPU加速MC，QMC低差异序列，支持路径相关期权定价，并行情景模拟</t>
        </is>
      </c>
      <c r="F151" s="11" t="inlineStr">
        <is>
          <t>p99延迟/误差率/精度验证/压测10k TPS</t>
        </is>
      </c>
      <c r="G151" s="28" t="inlineStr">
        <is>
          <t>极高</t>
        </is>
      </c>
      <c r="H151" s="13" t="n">
        <v>70</v>
      </c>
    </row>
    <row r="152" ht="28" customHeight="1">
      <c r="A152" s="11" t="inlineStr">
        <is>
          <t>定价平台</t>
        </is>
      </c>
      <c r="B152" s="10" t="inlineStr">
        <is>
          <t>P2</t>
        </is>
      </c>
      <c r="C152" s="10" t="inlineStr">
        <is>
          <t>F09-08</t>
        </is>
      </c>
      <c r="D152" s="27" t="inlineStr">
        <is>
          <t>解析解与数值解</t>
        </is>
      </c>
      <c r="E152" s="11" t="inlineStr">
        <is>
          <t>Black-Scholes解析解，Hull-White利率模型，SABR波动率模型，二叉树/三叉树数值解</t>
        </is>
      </c>
      <c r="F152" s="11" t="inlineStr">
        <is>
          <t>p99延迟/误差率/精度验证/压测10k TPS</t>
        </is>
      </c>
      <c r="G152" s="28" t="inlineStr">
        <is>
          <t>极高</t>
        </is>
      </c>
      <c r="H152" s="13" t="n">
        <v>60</v>
      </c>
    </row>
    <row r="153" ht="28" customHeight="1">
      <c r="A153" s="11" t="inlineStr">
        <is>
          <t>定价平台</t>
        </is>
      </c>
      <c r="B153" s="10" t="inlineStr">
        <is>
          <t>P2</t>
        </is>
      </c>
      <c r="C153" s="10" t="inlineStr">
        <is>
          <t>F09-09</t>
        </is>
      </c>
      <c r="D153" s="27" t="inlineStr">
        <is>
          <t>有限差分（PDE）</t>
        </is>
      </c>
      <c r="E153" s="11" t="inlineStr">
        <is>
          <t>Crank-Nicolson/ADI方法，含权债/可转债精确定价，局部波动率模型数值解</t>
        </is>
      </c>
      <c r="F153" s="11" t="inlineStr">
        <is>
          <t>p99延迟/误差率/精度验证/压测10k TPS</t>
        </is>
      </c>
      <c r="G153" s="28" t="inlineStr">
        <is>
          <t>极高</t>
        </is>
      </c>
      <c r="H153" s="13" t="n">
        <v>60</v>
      </c>
    </row>
    <row r="154" ht="28" customHeight="1">
      <c r="A154" s="11" t="inlineStr">
        <is>
          <t>定价平台</t>
        </is>
      </c>
      <c r="B154" s="10" t="inlineStr">
        <is>
          <t>P2</t>
        </is>
      </c>
      <c r="C154" s="10" t="inlineStr">
        <is>
          <t>F09-10</t>
        </is>
      </c>
      <c r="D154" s="27" t="inlineStr">
        <is>
          <t>实时Greeks计算</t>
        </is>
      </c>
      <c r="E154" s="11" t="inlineStr">
        <is>
          <t>Delta/Gamma/Vega/Theta/Rho分布式实时计算，DV01/CS01，分桶敏感度</t>
        </is>
      </c>
      <c r="F154" s="11" t="inlineStr">
        <is>
          <t>功能完整/边界测试/集成冒烟/性能基线</t>
        </is>
      </c>
      <c r="G154" s="23" t="inlineStr">
        <is>
          <t>高</t>
        </is>
      </c>
      <c r="H154" s="13" t="n">
        <v>40</v>
      </c>
    </row>
    <row r="155" ht="28" customHeight="1">
      <c r="A155" s="11" t="inlineStr">
        <is>
          <t>定价平台</t>
        </is>
      </c>
      <c r="B155" s="10" t="inlineStr">
        <is>
          <t>P2</t>
        </is>
      </c>
      <c r="C155" s="10" t="inlineStr">
        <is>
          <t>F09-11</t>
        </is>
      </c>
      <c r="D155" s="27" t="inlineStr">
        <is>
          <t>估值与结算计算</t>
        </is>
      </c>
      <c r="E155" s="11" t="inlineStr">
        <is>
          <t>日终估值，盯市计算，保证金计算，结算价格，历史估值回测与误差分析</t>
        </is>
      </c>
      <c r="F155" s="11" t="inlineStr">
        <is>
          <t>功能完整/边界测试/集成冒烟/性能基线</t>
        </is>
      </c>
      <c r="G155" s="23" t="inlineStr">
        <is>
          <t>高</t>
        </is>
      </c>
      <c r="H155" s="13" t="n">
        <v>40</v>
      </c>
    </row>
    <row r="156" ht="28" customHeight="1">
      <c r="A156" s="11" t="inlineStr">
        <is>
          <t>定价平台</t>
        </is>
      </c>
      <c r="B156" s="10" t="inlineStr">
        <is>
          <t>P2</t>
        </is>
      </c>
      <c r="C156" s="10" t="inlineStr">
        <is>
          <t>F09-12</t>
        </is>
      </c>
      <c r="D156" s="27" t="inlineStr">
        <is>
          <t>风控与情景计算</t>
        </is>
      </c>
      <c r="E156" s="11" t="inlineStr">
        <is>
          <t>风险计量（VaR/压力测试）调用，情景分析，保证金计算，为风控平台提供统一定价接口</t>
        </is>
      </c>
      <c r="F156" s="11" t="inlineStr">
        <is>
          <t>功能完整/边界测试/集成冒烟/性能基线</t>
        </is>
      </c>
      <c r="G156" s="23" t="inlineStr">
        <is>
          <t>高</t>
        </is>
      </c>
      <c r="H156" s="13" t="n">
        <v>35</v>
      </c>
    </row>
    <row r="157" ht="28" customHeight="1">
      <c r="A157" s="11" t="inlineStr">
        <is>
          <t>定价平台</t>
        </is>
      </c>
      <c r="B157" s="10" t="inlineStr">
        <is>
          <t>P2</t>
        </is>
      </c>
      <c r="C157" s="10" t="inlineStr">
        <is>
          <t>F09-13</t>
        </is>
      </c>
      <c r="D157" s="27" t="inlineStr">
        <is>
          <t>客需报价服务</t>
        </is>
      </c>
      <c r="E157" s="11" t="inlineStr">
        <is>
          <t>为销售交易/TRS系统提供实时报价，一站式报价接口，支持结构化产品定制化快速报价</t>
        </is>
      </c>
      <c r="F157" s="11" t="inlineStr">
        <is>
          <t>功能完整/边界测试/集成冒烟/性能基线</t>
        </is>
      </c>
      <c r="G157" s="23" t="inlineStr">
        <is>
          <t>高</t>
        </is>
      </c>
      <c r="H157" s="13" t="n">
        <v>35</v>
      </c>
    </row>
    <row r="158" ht="28" customHeight="1">
      <c r="A158" s="11" t="inlineStr">
        <is>
          <t>定价平台</t>
        </is>
      </c>
      <c r="B158" s="10" t="inlineStr">
        <is>
          <t>P2</t>
        </is>
      </c>
      <c r="C158" s="10" t="inlineStr">
        <is>
          <t>F09-14</t>
        </is>
      </c>
      <c r="D158" s="27" t="inlineStr">
        <is>
          <t>定价微服务架构</t>
        </is>
      </c>
      <c r="E158" s="11" t="inlineStr">
        <is>
          <t>REST/gRPC定价API，横向弹性扩容，p99&lt;100ms，模型插件化注册，版本管理</t>
        </is>
      </c>
      <c r="F158" s="11" t="inlineStr">
        <is>
          <t>功能完整/边界测试/集成冒烟/性能基线</t>
        </is>
      </c>
      <c r="G158" s="23" t="inlineStr">
        <is>
          <t>高</t>
        </is>
      </c>
      <c r="H158" s="13" t="n">
        <v>40</v>
      </c>
    </row>
    <row r="159" ht="28" customHeight="1">
      <c r="A159" s="11" t="inlineStr">
        <is>
          <t>定价平台</t>
        </is>
      </c>
      <c r="B159" s="10" t="inlineStr">
        <is>
          <t>P2</t>
        </is>
      </c>
      <c r="C159" s="10" t="inlineStr">
        <is>
          <t>F09-15</t>
        </is>
      </c>
      <c r="D159" s="27" t="inlineStr">
        <is>
          <t>灵活二次开发能力</t>
        </is>
      </c>
      <c r="E159" s="11" t="inlineStr">
        <is>
          <t>全平台级/单功能模块级/系统框架级可扩展，支持自定义模型接入，策略团队自助扩展</t>
        </is>
      </c>
      <c r="F159" s="11" t="inlineStr">
        <is>
          <t>功能完整/边界测试/集成冒烟/性能基线</t>
        </is>
      </c>
      <c r="G159" s="23" t="inlineStr">
        <is>
          <t>高</t>
        </is>
      </c>
      <c r="H159" s="13" t="n">
        <v>30</v>
      </c>
    </row>
    <row r="160" ht="20" customHeight="1">
      <c r="A160" s="26" t="inlineStr">
        <is>
          <t>【P2】 销售交易  (Sales Trading)</t>
        </is>
      </c>
    </row>
    <row r="161" ht="28" customHeight="1">
      <c r="A161" s="11" t="inlineStr">
        <is>
          <t>销售交易</t>
        </is>
      </c>
      <c r="B161" s="10" t="inlineStr">
        <is>
          <t>P2</t>
        </is>
      </c>
      <c r="C161" s="10" t="inlineStr">
        <is>
          <t>F10-01</t>
        </is>
      </c>
      <c r="D161" s="27" t="inlineStr">
        <is>
          <t>报价工作台</t>
        </is>
      </c>
      <c r="E161" s="11" t="inlineStr">
        <is>
          <t>历史报价管理，当日报价快捷操作，导入/导出报价，一键unrefer，报价提醒功能</t>
        </is>
      </c>
      <c r="F161" s="11" t="inlineStr">
        <is>
          <t>功能测试通过/正确率100%</t>
        </is>
      </c>
      <c r="G161" s="24" t="inlineStr">
        <is>
          <t>中</t>
        </is>
      </c>
      <c r="H161" s="13" t="n">
        <v>20</v>
      </c>
    </row>
    <row r="162" ht="28" customHeight="1">
      <c r="A162" s="11" t="inlineStr">
        <is>
          <t>销售交易</t>
        </is>
      </c>
      <c r="B162" s="10" t="inlineStr">
        <is>
          <t>P2</t>
        </is>
      </c>
      <c r="C162" s="10" t="inlineStr">
        <is>
          <t>F10-02</t>
        </is>
      </c>
      <c r="D162" s="27" t="inlineStr">
        <is>
          <t>债券过滤与筛选</t>
        </is>
      </c>
      <c r="E162" s="11" t="inlineStr">
        <is>
          <t>信用债全品种过滤，利率债（国债/证金债/地方债）过滤，精确识别与模糊识别双模式</t>
        </is>
      </c>
      <c r="F162" s="11" t="inlineStr">
        <is>
          <t>功能测试通过</t>
        </is>
      </c>
      <c r="G162" s="25" t="inlineStr">
        <is>
          <t>低</t>
        </is>
      </c>
      <c r="H162" s="13" t="n">
        <v>10</v>
      </c>
    </row>
    <row r="163" ht="28" customHeight="1">
      <c r="A163" s="11" t="inlineStr">
        <is>
          <t>销售交易</t>
        </is>
      </c>
      <c r="B163" s="10" t="inlineStr">
        <is>
          <t>P2</t>
        </is>
      </c>
      <c r="C163" s="10" t="inlineStr">
        <is>
          <t>F10-03</t>
        </is>
      </c>
      <c r="D163" s="27" t="inlineStr">
        <is>
          <t>报价撮合与对价</t>
        </is>
      </c>
      <c r="E163" s="11" t="inlineStr">
        <is>
          <t>对价/最优报价聚合展示，撮合对价，交易包管理，报价成交确认，一键成交</t>
        </is>
      </c>
      <c r="F163" s="11" t="inlineStr">
        <is>
          <t>功能测试通过/正确率100%</t>
        </is>
      </c>
      <c r="G163" s="24" t="inlineStr">
        <is>
          <t>中</t>
        </is>
      </c>
      <c r="H163" s="13" t="n">
        <v>20</v>
      </c>
    </row>
    <row r="164" ht="28" customHeight="1">
      <c r="A164" s="11" t="inlineStr">
        <is>
          <t>销售交易</t>
        </is>
      </c>
      <c r="B164" s="10" t="inlineStr">
        <is>
          <t>P2</t>
        </is>
      </c>
      <c r="C164" s="10" t="inlineStr">
        <is>
          <t>F10-04</t>
        </is>
      </c>
      <c r="D164" s="27" t="inlineStr">
        <is>
          <t>交易执行与要素校验</t>
        </is>
      </c>
      <c r="E164" s="11" t="inlineStr">
        <is>
          <t>意向达成，交易要素自动校验，手工价录入，业务审批流程，交易记录管理</t>
        </is>
      </c>
      <c r="F164" s="11" t="inlineStr">
        <is>
          <t>功能测试通过/正确率100%</t>
        </is>
      </c>
      <c r="G164" s="24" t="inlineStr">
        <is>
          <t>中</t>
        </is>
      </c>
      <c r="H164" s="13" t="n">
        <v>15</v>
      </c>
    </row>
    <row r="165" ht="28" customHeight="1">
      <c r="A165" s="11" t="inlineStr">
        <is>
          <t>销售交易</t>
        </is>
      </c>
      <c r="B165" s="10" t="inlineStr">
        <is>
          <t>P2</t>
        </is>
      </c>
      <c r="C165" s="10" t="inlineStr">
        <is>
          <t>F10-05</t>
        </is>
      </c>
      <c r="D165" s="27" t="inlineStr">
        <is>
          <t>风控检查</t>
        </is>
      </c>
      <c r="E165" s="11" t="inlineStr">
        <is>
          <t>交易前风控规则同步校验，限额检查，合规拦截，风控记录留痕，不通过自动拦截</t>
        </is>
      </c>
      <c r="F165" s="11" t="inlineStr">
        <is>
          <t>功能测试通过/正确率100%</t>
        </is>
      </c>
      <c r="G165" s="24" t="inlineStr">
        <is>
          <t>中</t>
        </is>
      </c>
      <c r="H165" s="13" t="n">
        <v>15</v>
      </c>
    </row>
    <row r="166" ht="28" customHeight="1">
      <c r="A166" s="11" t="inlineStr">
        <is>
          <t>销售交易</t>
        </is>
      </c>
      <c r="B166" s="10" t="inlineStr">
        <is>
          <t>P2</t>
        </is>
      </c>
      <c r="C166" s="10" t="inlineStr">
        <is>
          <t>F10-06</t>
        </is>
      </c>
      <c r="D166" s="27" t="inlineStr">
        <is>
          <t>智能推荐系统</t>
        </is>
      </c>
      <c r="E166" s="11" t="inlineStr">
        <is>
          <t>基于客户画像与历史交易数据主动推荐券种，从被动服务转向主动服务，提升客户响应效率</t>
        </is>
      </c>
      <c r="F166" s="11" t="inlineStr">
        <is>
          <t>功能完整/边界测试/集成冒烟/性能基线</t>
        </is>
      </c>
      <c r="G166" s="23" t="inlineStr">
        <is>
          <t>高</t>
        </is>
      </c>
      <c r="H166" s="13" t="n">
        <v>25</v>
      </c>
    </row>
    <row r="167" ht="28" customHeight="1">
      <c r="A167" s="11" t="inlineStr">
        <is>
          <t>销售交易</t>
        </is>
      </c>
      <c r="B167" s="10" t="inlineStr">
        <is>
          <t>P2</t>
        </is>
      </c>
      <c r="C167" s="10" t="inlineStr">
        <is>
          <t>F10-07</t>
        </is>
      </c>
      <c r="D167" s="27" t="inlineStr">
        <is>
          <t>综合业务平台</t>
        </is>
      </c>
      <c r="E167" s="11" t="inlineStr">
        <is>
          <t>解决交易员分散办公与客户交易信息共享问题，报价聚合展示，客户快速服务，多地协同</t>
        </is>
      </c>
      <c r="F167" s="11" t="inlineStr">
        <is>
          <t>功能测试通过/正确率100%</t>
        </is>
      </c>
      <c r="G167" s="24" t="inlineStr">
        <is>
          <t>中</t>
        </is>
      </c>
      <c r="H167" s="13" t="n">
        <v>15</v>
      </c>
    </row>
    <row r="168" ht="20" customHeight="1">
      <c r="A168" s="26" t="inlineStr">
        <is>
          <t>【P2】 信用债/信用衍生品  (Credit Bond &amp; CDS)</t>
        </is>
      </c>
    </row>
    <row r="169" ht="28" customHeight="1">
      <c r="A169" s="11" t="inlineStr">
        <is>
          <t>信用债/信用衍生品</t>
        </is>
      </c>
      <c r="B169" s="10" t="inlineStr">
        <is>
          <t>P2</t>
        </is>
      </c>
      <c r="C169" s="10" t="inlineStr">
        <is>
          <t>F11-01</t>
        </is>
      </c>
      <c r="D169" s="27" t="inlineStr">
        <is>
          <t>信用风险数据接入</t>
        </is>
      </c>
      <c r="E169" s="11" t="inlineStr">
        <is>
          <t>外部信用数据服务接入（Wind/中诚信/联合评级等），内部数据整合，数据质量检查，信用风险数据集市</t>
        </is>
      </c>
      <c r="F169" s="11" t="inlineStr">
        <is>
          <t>功能完整/边界测试/集成冒烟/性能基线</t>
        </is>
      </c>
      <c r="G169" s="23" t="inlineStr">
        <is>
          <t>高</t>
        </is>
      </c>
      <c r="H169" s="13" t="n">
        <v>30</v>
      </c>
    </row>
    <row r="170" ht="28" customHeight="1">
      <c r="A170" s="11" t="inlineStr">
        <is>
          <t>信用债/信用衍生品</t>
        </is>
      </c>
      <c r="B170" s="10" t="inlineStr">
        <is>
          <t>P2</t>
        </is>
      </c>
      <c r="C170" s="10" t="inlineStr">
        <is>
          <t>F11-02</t>
        </is>
      </c>
      <c r="D170" s="27" t="inlineStr">
        <is>
          <t>信用评估引擎</t>
        </is>
      </c>
      <c r="E170" s="11" t="inlineStr">
        <is>
          <t>持续迭代信用评价引擎，资产证券化评价，交易对手评价，违约概率（PD）建模，信用评分</t>
        </is>
      </c>
      <c r="F170" s="11" t="inlineStr">
        <is>
          <t>p99延迟/误差率/精度验证/压测10k TPS</t>
        </is>
      </c>
      <c r="G170" s="28" t="inlineStr">
        <is>
          <t>极高</t>
        </is>
      </c>
      <c r="H170" s="13" t="n">
        <v>40</v>
      </c>
    </row>
    <row r="171" ht="28" customHeight="1">
      <c r="A171" s="11" t="inlineStr">
        <is>
          <t>信用债/信用衍生品</t>
        </is>
      </c>
      <c r="B171" s="10" t="inlineStr">
        <is>
          <t>P2</t>
        </is>
      </c>
      <c r="C171" s="10" t="inlineStr">
        <is>
          <t>F11-03</t>
        </is>
      </c>
      <c r="D171" s="27" t="inlineStr">
        <is>
          <t>信用预警系统</t>
        </is>
      </c>
      <c r="E171" s="11" t="inlineStr">
        <is>
          <t>市场数据自动触发预警，评级下调动态预警，投后预警跟踪与信号处理，预警规则配置</t>
        </is>
      </c>
      <c r="F171" s="11" t="inlineStr">
        <is>
          <t>功能完整/边界测试/集成冒烟/性能基线</t>
        </is>
      </c>
      <c r="G171" s="23" t="inlineStr">
        <is>
          <t>高</t>
        </is>
      </c>
      <c r="H171" s="13" t="n">
        <v>30</v>
      </c>
    </row>
    <row r="172" ht="28" customHeight="1">
      <c r="A172" s="11" t="inlineStr">
        <is>
          <t>信用债/信用衍生品</t>
        </is>
      </c>
      <c r="B172" s="10" t="inlineStr">
        <is>
          <t>P2</t>
        </is>
      </c>
      <c r="C172" s="10" t="inlineStr">
        <is>
          <t>F11-04</t>
        </is>
      </c>
      <c r="D172" s="27" t="inlineStr">
        <is>
          <t>投资池管理</t>
        </is>
      </c>
      <c r="E172" s="11" t="inlineStr">
        <is>
          <t>债券池配置与维护，债券准入/退出规则，白名单/黑名单管理，池状态实时更新</t>
        </is>
      </c>
      <c r="F172" s="11" t="inlineStr">
        <is>
          <t>功能测试通过/正确率100%</t>
        </is>
      </c>
      <c r="G172" s="24" t="inlineStr">
        <is>
          <t>中</t>
        </is>
      </c>
      <c r="H172" s="13" t="n">
        <v>20</v>
      </c>
    </row>
    <row r="173" ht="28" customHeight="1">
      <c r="A173" s="11" t="inlineStr">
        <is>
          <t>信用债/信用衍生品</t>
        </is>
      </c>
      <c r="B173" s="10" t="inlineStr">
        <is>
          <t>P2</t>
        </is>
      </c>
      <c r="C173" s="10" t="inlineStr">
        <is>
          <t>F11-05</t>
        </is>
      </c>
      <c r="D173" s="27" t="inlineStr">
        <is>
          <t>评级管理</t>
        </is>
      </c>
      <c r="E173" s="11" t="inlineStr">
        <is>
          <t>内部评级录入与更新，外部评级同步（中诚信/联合/大公），评级变更历史追踪，评级模型管理</t>
        </is>
      </c>
      <c r="F173" s="11" t="inlineStr">
        <is>
          <t>功能测试通过/正确率100%</t>
        </is>
      </c>
      <c r="G173" s="24" t="inlineStr">
        <is>
          <t>中</t>
        </is>
      </c>
      <c r="H173" s="13" t="n">
        <v>20</v>
      </c>
    </row>
    <row r="174" ht="28" customHeight="1">
      <c r="A174" s="11" t="inlineStr">
        <is>
          <t>信用债/信用衍生品</t>
        </is>
      </c>
      <c r="B174" s="10" t="inlineStr">
        <is>
          <t>P2</t>
        </is>
      </c>
      <c r="C174" s="10" t="inlineStr">
        <is>
          <t>F11-06</t>
        </is>
      </c>
      <c r="D174" s="27" t="inlineStr">
        <is>
          <t>投前审批管理</t>
        </is>
      </c>
      <c r="E174" s="11" t="inlineStr">
        <is>
          <t>新券投资准入审批流程，信用额度申请，投资决策材料生成，审批记录留痕</t>
        </is>
      </c>
      <c r="F174" s="11" t="inlineStr">
        <is>
          <t>功能测试通过/正确率100%</t>
        </is>
      </c>
      <c r="G174" s="24" t="inlineStr">
        <is>
          <t>中</t>
        </is>
      </c>
      <c r="H174" s="13" t="n">
        <v>20</v>
      </c>
    </row>
    <row r="175" ht="28" customHeight="1">
      <c r="A175" s="11" t="inlineStr">
        <is>
          <t>信用债/信用衍生品</t>
        </is>
      </c>
      <c r="B175" s="10" t="inlineStr">
        <is>
          <t>P2</t>
        </is>
      </c>
      <c r="C175" s="10" t="inlineStr">
        <is>
          <t>F11-07</t>
        </is>
      </c>
      <c r="D175" s="27" t="inlineStr">
        <is>
          <t>持仓与敞口管理</t>
        </is>
      </c>
      <c r="E175" s="11" t="inlineStr">
        <is>
          <t>信用债持仓实时查询，敞口管理，集中度分析（行业/评级/发行人），到期提醒</t>
        </is>
      </c>
      <c r="F175" s="11" t="inlineStr">
        <is>
          <t>功能测试通过/正确率100%</t>
        </is>
      </c>
      <c r="G175" s="24" t="inlineStr">
        <is>
          <t>中</t>
        </is>
      </c>
      <c r="H175" s="13" t="n">
        <v>20</v>
      </c>
    </row>
    <row r="176" ht="28" customHeight="1">
      <c r="A176" s="11" t="inlineStr">
        <is>
          <t>信用债/信用衍生品</t>
        </is>
      </c>
      <c r="B176" s="10" t="inlineStr">
        <is>
          <t>P2</t>
        </is>
      </c>
      <c r="C176" s="10" t="inlineStr">
        <is>
          <t>F11-08</t>
        </is>
      </c>
      <c r="D176" s="27" t="inlineStr">
        <is>
          <t>信用风险监控看板</t>
        </is>
      </c>
      <c r="E176" s="11" t="inlineStr">
        <is>
          <t>多维度风险指标实时监控，信用利差走势，主体信用事件推送，指标监控与查询统计</t>
        </is>
      </c>
      <c r="F176" s="11" t="inlineStr">
        <is>
          <t>功能完整/边界测试/集成冒烟/性能基线</t>
        </is>
      </c>
      <c r="G176" s="23" t="inlineStr">
        <is>
          <t>高</t>
        </is>
      </c>
      <c r="H176" s="13" t="n">
        <v>25</v>
      </c>
    </row>
    <row r="177" ht="28" customHeight="1">
      <c r="A177" s="11" t="inlineStr">
        <is>
          <t>信用债/信用衍生品</t>
        </is>
      </c>
      <c r="B177" s="10" t="inlineStr">
        <is>
          <t>P2</t>
        </is>
      </c>
      <c r="C177" s="10" t="inlineStr">
        <is>
          <t>F11-09</t>
        </is>
      </c>
      <c r="D177" s="27" t="inlineStr">
        <is>
          <t>违约管理</t>
        </is>
      </c>
      <c r="E177" s="11" t="inlineStr">
        <is>
          <t>违约事件记录，违约债券处置跟踪，损失估算，监管报送，违约主体黑名单自动更新</t>
        </is>
      </c>
      <c r="F177" s="11" t="inlineStr">
        <is>
          <t>功能完整/边界测试/集成冒烟/性能基线</t>
        </is>
      </c>
      <c r="G177" s="23" t="inlineStr">
        <is>
          <t>高</t>
        </is>
      </c>
      <c r="H177" s="13" t="n">
        <v>25</v>
      </c>
    </row>
    <row r="178" ht="28" customHeight="1">
      <c r="A178" s="11" t="inlineStr">
        <is>
          <t>信用债/信用衍生品</t>
        </is>
      </c>
      <c r="B178" s="10" t="inlineStr">
        <is>
          <t>P2</t>
        </is>
      </c>
      <c r="C178" s="10" t="inlineStr">
        <is>
          <t>F11-10</t>
        </is>
      </c>
      <c r="D178" s="27" t="inlineStr">
        <is>
          <t>信用利差分析</t>
        </is>
      </c>
      <c r="E178" s="11" t="inlineStr">
        <is>
          <t>行业/评级/期限信用利差曲线实时计算，历史分位数分析，利差走势，相对价值分析</t>
        </is>
      </c>
      <c r="F178" s="11" t="inlineStr">
        <is>
          <t>功能完整/边界测试/集成冒烟/性能基线</t>
        </is>
      </c>
      <c r="G178" s="23" t="inlineStr">
        <is>
          <t>高</t>
        </is>
      </c>
      <c r="H178" s="13" t="n">
        <v>30</v>
      </c>
    </row>
    <row r="179" ht="28" customHeight="1">
      <c r="A179" s="11" t="inlineStr">
        <is>
          <t>信用债/信用衍生品</t>
        </is>
      </c>
      <c r="B179" s="10" t="inlineStr">
        <is>
          <t>P2</t>
        </is>
      </c>
      <c r="C179" s="10" t="inlineStr">
        <is>
          <t>F11-11</t>
        </is>
      </c>
      <c r="D179" s="27" t="inlineStr">
        <is>
          <t>CDS定价与管理</t>
        </is>
      </c>
      <c r="E179" s="11" t="inlineStr">
        <is>
          <t>信用违约互换定价（ISDA标准），生存概率曲线校准，CDS交易录入与持仓管理</t>
        </is>
      </c>
      <c r="F179" s="11" t="inlineStr">
        <is>
          <t>p99延迟/误差率/精度验证/压测10k TPS</t>
        </is>
      </c>
      <c r="G179" s="28" t="inlineStr">
        <is>
          <t>极高</t>
        </is>
      </c>
      <c r="H179" s="13" t="n">
        <v>40</v>
      </c>
    </row>
    <row r="180" ht="28" customHeight="1">
      <c r="A180" s="11" t="inlineStr">
        <is>
          <t>信用债/信用衍生品</t>
        </is>
      </c>
      <c r="B180" s="10" t="inlineStr">
        <is>
          <t>P2</t>
        </is>
      </c>
      <c r="C180" s="10" t="inlineStr">
        <is>
          <t>F11-12</t>
        </is>
      </c>
      <c r="D180" s="27" t="inlineStr">
        <is>
          <t>配置与权限管理</t>
        </is>
      </c>
      <c r="E180" s="11" t="inlineStr">
        <is>
          <t>预警规则配置，指标库管理，评级模型管理，用户权限管理，债券池配置管理</t>
        </is>
      </c>
      <c r="F180" s="11" t="inlineStr">
        <is>
          <t>功能测试通过</t>
        </is>
      </c>
      <c r="G180" s="25" t="inlineStr">
        <is>
          <t>低</t>
        </is>
      </c>
      <c r="H180" s="13" t="n">
        <v>15</v>
      </c>
    </row>
    <row r="181" ht="20" customHeight="1">
      <c r="A181" s="26" t="inlineStr">
        <is>
          <t>【P2】 投顾服务  (Investment Advisory)</t>
        </is>
      </c>
    </row>
    <row r="182" ht="28" customHeight="1">
      <c r="A182" s="11" t="inlineStr">
        <is>
          <t>投顾服务</t>
        </is>
      </c>
      <c r="B182" s="10" t="inlineStr">
        <is>
          <t>P2</t>
        </is>
      </c>
      <c r="C182" s="10" t="inlineStr">
        <is>
          <t>F12-01</t>
        </is>
      </c>
      <c r="D182" s="27" t="inlineStr">
        <is>
          <t>投顾操作工作台</t>
        </is>
      </c>
      <c r="E182" s="11" t="inlineStr">
        <is>
          <t>投顾人员管理客户委托，上传研究报告，发送投资建议，查看客户反馈与确认状态</t>
        </is>
      </c>
      <c r="F182" s="11" t="inlineStr">
        <is>
          <t>功能测试通过/正确率100%</t>
        </is>
      </c>
      <c r="G182" s="24" t="inlineStr">
        <is>
          <t>中</t>
        </is>
      </c>
      <c r="H182" s="13" t="n">
        <v>20</v>
      </c>
    </row>
    <row r="183" ht="28" customHeight="1">
      <c r="A183" s="11" t="inlineStr">
        <is>
          <t>投顾服务</t>
        </is>
      </c>
      <c r="B183" s="10" t="inlineStr">
        <is>
          <t>P2</t>
        </is>
      </c>
      <c r="C183" s="10" t="inlineStr">
        <is>
          <t>F12-02</t>
        </is>
      </c>
      <c r="D183" s="27" t="inlineStr">
        <is>
          <t>投资建议书管理</t>
        </is>
      </c>
      <c r="E183" s="11" t="inlineStr">
        <is>
          <t>投资建议书线上生成与审批，客户确认全流程，留痕追溯，电子签收，历史建议书归档</t>
        </is>
      </c>
      <c r="F183" s="11" t="inlineStr">
        <is>
          <t>功能测试通过/正确率100%</t>
        </is>
      </c>
      <c r="G183" s="24" t="inlineStr">
        <is>
          <t>中</t>
        </is>
      </c>
      <c r="H183" s="13" t="n">
        <v>20</v>
      </c>
    </row>
    <row r="184" ht="28" customHeight="1">
      <c r="A184" s="11" t="inlineStr">
        <is>
          <t>投顾服务</t>
        </is>
      </c>
      <c r="B184" s="10" t="inlineStr">
        <is>
          <t>P2</t>
        </is>
      </c>
      <c r="C184" s="10" t="inlineStr">
        <is>
          <t>F12-03</t>
        </is>
      </c>
      <c r="D184" s="27" t="inlineStr">
        <is>
          <t>投研报告服务</t>
        </is>
      </c>
      <c r="E184" s="11" t="inlineStr">
        <is>
          <t>日/周/月研究报告上传与定向推送，RPA自动获取基础数据，报告分类管理与检索</t>
        </is>
      </c>
      <c r="F184" s="11" t="inlineStr">
        <is>
          <t>功能测试通过/正确率100%</t>
        </is>
      </c>
      <c r="G184" s="24" t="inlineStr">
        <is>
          <t>中</t>
        </is>
      </c>
      <c r="H184" s="13" t="n">
        <v>15</v>
      </c>
    </row>
    <row r="185" ht="28" customHeight="1">
      <c r="A185" s="11" t="inlineStr">
        <is>
          <t>投顾服务</t>
        </is>
      </c>
      <c r="B185" s="10" t="inlineStr">
        <is>
          <t>P2</t>
        </is>
      </c>
      <c r="C185" s="10" t="inlineStr">
        <is>
          <t>F12-04</t>
        </is>
      </c>
      <c r="D185" s="27" t="inlineStr">
        <is>
          <t>客户投资服务界面</t>
        </is>
      </c>
      <c r="E185" s="11" t="inlineStr">
        <is>
          <t>客户查看投资建议与分析报告，发送确认，查看账户净值走势、持仓明细、交易明细</t>
        </is>
      </c>
      <c r="F185" s="11" t="inlineStr">
        <is>
          <t>功能测试通过/正确率100%</t>
        </is>
      </c>
      <c r="G185" s="24" t="inlineStr">
        <is>
          <t>中</t>
        </is>
      </c>
      <c r="H185" s="13" t="n">
        <v>20</v>
      </c>
    </row>
    <row r="186" ht="28" customHeight="1">
      <c r="A186" s="11" t="inlineStr">
        <is>
          <t>投顾服务</t>
        </is>
      </c>
      <c r="B186" s="10" t="inlineStr">
        <is>
          <t>P2</t>
        </is>
      </c>
      <c r="C186" s="10" t="inlineStr">
        <is>
          <t>F12-05</t>
        </is>
      </c>
      <c r="D186" s="27" t="inlineStr">
        <is>
          <t>账户深度分析</t>
        </is>
      </c>
      <c r="E186" s="11" t="inlineStr">
        <is>
          <t>账户净值走势，久期走势，归因分析，估值台账，持仓明细，交易明细，定期分析报告生成</t>
        </is>
      </c>
      <c r="F186" s="11" t="inlineStr">
        <is>
          <t>功能完整/边界测试/集成冒烟/性能基线</t>
        </is>
      </c>
      <c r="G186" s="23" t="inlineStr">
        <is>
          <t>高</t>
        </is>
      </c>
      <c r="H186" s="13" t="n">
        <v>25</v>
      </c>
    </row>
    <row r="187" ht="28" customHeight="1">
      <c r="A187" s="11" t="inlineStr">
        <is>
          <t>投顾服务</t>
        </is>
      </c>
      <c r="B187" s="10" t="inlineStr">
        <is>
          <t>P2</t>
        </is>
      </c>
      <c r="C187" s="10" t="inlineStr">
        <is>
          <t>F12-06</t>
        </is>
      </c>
      <c r="D187" s="27" t="inlineStr">
        <is>
          <t>交易服务对接</t>
        </is>
      </c>
      <c r="E187" s="11" t="inlineStr">
        <is>
          <t>客户查看投资建议后直接触发交易委托，与销售交易系统对接，全程数字化交易确认</t>
        </is>
      </c>
      <c r="F187" s="11" t="inlineStr">
        <is>
          <t>功能测试通过/正确率100%</t>
        </is>
      </c>
      <c r="G187" s="24" t="inlineStr">
        <is>
          <t>中</t>
        </is>
      </c>
      <c r="H187" s="13" t="n">
        <v>15</v>
      </c>
    </row>
    <row r="188" ht="28" customHeight="1">
      <c r="A188" s="11" t="inlineStr">
        <is>
          <t>投顾服务</t>
        </is>
      </c>
      <c r="B188" s="10" t="inlineStr">
        <is>
          <t>P2</t>
        </is>
      </c>
      <c r="C188" s="10" t="inlineStr">
        <is>
          <t>F12-07</t>
        </is>
      </c>
      <c r="D188" s="27" t="inlineStr">
        <is>
          <t>客户服务中心</t>
        </is>
      </c>
      <c r="E188" s="11" t="inlineStr">
        <is>
          <t>服务中心，消息中心，常见问题，问卷系统，客户满意度管理</t>
        </is>
      </c>
      <c r="F188" s="11" t="inlineStr">
        <is>
          <t>功能测试通过</t>
        </is>
      </c>
      <c r="G188" s="25" t="inlineStr">
        <is>
          <t>低</t>
        </is>
      </c>
      <c r="H188" s="13" t="n">
        <v>10</v>
      </c>
    </row>
    <row r="189" ht="28" customHeight="1">
      <c r="A189" s="11" t="inlineStr">
        <is>
          <t>投顾服务</t>
        </is>
      </c>
      <c r="B189" s="10" t="inlineStr">
        <is>
          <t>P2</t>
        </is>
      </c>
      <c r="C189" s="10" t="inlineStr">
        <is>
          <t>F12-08</t>
        </is>
      </c>
      <c r="D189" s="27" t="inlineStr">
        <is>
          <t>平台基础管理</t>
        </is>
      </c>
      <c r="E189" s="11" t="inlineStr">
        <is>
          <t>用户管理，账户管理，数据管理，消息群发，登录注册，权限控制</t>
        </is>
      </c>
      <c r="F189" s="11" t="inlineStr">
        <is>
          <t>功能测试通过</t>
        </is>
      </c>
      <c r="G189" s="25" t="inlineStr">
        <is>
          <t>低</t>
        </is>
      </c>
      <c r="H189" s="13" t="n">
        <v>10</v>
      </c>
    </row>
    <row r="190" ht="20" customHeight="1">
      <c r="A190" s="26" t="inlineStr">
        <is>
          <t>【P2】 TRS收益互换  (Total Return Swap)</t>
        </is>
      </c>
    </row>
    <row r="191" ht="28" customHeight="1">
      <c r="A191" s="11" t="inlineStr">
        <is>
          <t>TRS收益互换</t>
        </is>
      </c>
      <c r="B191" s="10" t="inlineStr">
        <is>
          <t>P2</t>
        </is>
      </c>
      <c r="C191" s="10" t="inlineStr">
        <is>
          <t>F13-01</t>
        </is>
      </c>
      <c r="D191" s="27" t="inlineStr">
        <is>
          <t>报价与成交管理</t>
        </is>
      </c>
      <c r="E191" s="11" t="inlineStr">
        <is>
          <t>一站式报价（市场各渠道 + 内部自营），成交回报处理，请求报价（RFQ），历史确认查询</t>
        </is>
      </c>
      <c r="F191" s="11" t="inlineStr">
        <is>
          <t>功能完整/边界测试/集成冒烟/性能基线</t>
        </is>
      </c>
      <c r="G191" s="23" t="inlineStr">
        <is>
          <t>高</t>
        </is>
      </c>
      <c r="H191" s="13" t="n">
        <v>30</v>
      </c>
    </row>
    <row r="192" ht="28" customHeight="1">
      <c r="A192" s="11" t="inlineStr">
        <is>
          <t>TRS收益互换</t>
        </is>
      </c>
      <c r="B192" s="10" t="inlineStr">
        <is>
          <t>P2</t>
        </is>
      </c>
      <c r="C192" s="10" t="inlineStr">
        <is>
          <t>F13-02</t>
        </is>
      </c>
      <c r="D192" s="27" t="inlineStr">
        <is>
          <t>自动对冲</t>
        </is>
      </c>
      <c r="E192" s="11" t="inlineStr">
        <is>
          <t>对冲委托自动触发，对冲回报处理，风险校验，组合重叠分析，开平仓设置，对冲策略配置</t>
        </is>
      </c>
      <c r="F192" s="11" t="inlineStr">
        <is>
          <t>功能完整/边界测试/集成冒烟/性能基线</t>
        </is>
      </c>
      <c r="G192" s="23" t="inlineStr">
        <is>
          <t>高</t>
        </is>
      </c>
      <c r="H192" s="13" t="n">
        <v>30</v>
      </c>
    </row>
    <row r="193" ht="28" customHeight="1">
      <c r="A193" s="11" t="inlineStr">
        <is>
          <t>TRS收益互换</t>
        </is>
      </c>
      <c r="B193" s="10" t="inlineStr">
        <is>
          <t>P2</t>
        </is>
      </c>
      <c r="C193" s="10" t="inlineStr">
        <is>
          <t>F13-03</t>
        </is>
      </c>
      <c r="D193" s="27" t="inlineStr">
        <is>
          <t>行情与资讯</t>
        </is>
      </c>
      <c r="E193" s="11" t="inlineStr">
        <is>
          <t>实时行情矩阵展示，债券行情，我的关注，历史行情，资讯推送</t>
        </is>
      </c>
      <c r="F193" s="11" t="inlineStr">
        <is>
          <t>功能测试通过/正确率100%</t>
        </is>
      </c>
      <c r="G193" s="24" t="inlineStr">
        <is>
          <t>中</t>
        </is>
      </c>
      <c r="H193" s="13" t="n">
        <v>15</v>
      </c>
    </row>
    <row r="194" ht="28" customHeight="1">
      <c r="A194" s="11" t="inlineStr">
        <is>
          <t>TRS收益互换</t>
        </is>
      </c>
      <c r="B194" s="10" t="inlineStr">
        <is>
          <t>P2</t>
        </is>
      </c>
      <c r="C194" s="10" t="inlineStr">
        <is>
          <t>F13-04</t>
        </is>
      </c>
      <c r="D194" s="27" t="inlineStr">
        <is>
          <t>开户与账户管理</t>
        </is>
      </c>
      <c r="E194" s="11" t="inlineStr">
        <is>
          <t>客户开户申请，账户信息管理，出入金申请，银行账号绑定，资金管理</t>
        </is>
      </c>
      <c r="F194" s="11" t="inlineStr">
        <is>
          <t>功能测试通过/正确率100%</t>
        </is>
      </c>
      <c r="G194" s="24" t="inlineStr">
        <is>
          <t>中</t>
        </is>
      </c>
      <c r="H194" s="13" t="n">
        <v>20</v>
      </c>
    </row>
    <row r="195" ht="28" customHeight="1">
      <c r="A195" s="11" t="inlineStr">
        <is>
          <t>TRS收益互换</t>
        </is>
      </c>
      <c r="B195" s="10" t="inlineStr">
        <is>
          <t>P2</t>
        </is>
      </c>
      <c r="C195" s="10" t="inlineStr">
        <is>
          <t>F13-05</t>
        </is>
      </c>
      <c r="D195" s="27" t="inlineStr">
        <is>
          <t>客户自主交易</t>
        </is>
      </c>
      <c r="E195" s="11" t="inlineStr">
        <is>
          <t>客户委托下单，合约持仓查询，标的持仓查询，当日委托，行情矩阵，历史确认，开平仓设置</t>
        </is>
      </c>
      <c r="F195" s="11" t="inlineStr">
        <is>
          <t>功能完整/边界测试/集成冒烟/性能基线</t>
        </is>
      </c>
      <c r="G195" s="23" t="inlineStr">
        <is>
          <t>高</t>
        </is>
      </c>
      <c r="H195" s="13" t="n">
        <v>25</v>
      </c>
    </row>
    <row r="196" ht="28" customHeight="1">
      <c r="A196" s="11" t="inlineStr">
        <is>
          <t>TRS收益互换</t>
        </is>
      </c>
      <c r="B196" s="10" t="inlineStr">
        <is>
          <t>P2</t>
        </is>
      </c>
      <c r="C196" s="10" t="inlineStr">
        <is>
          <t>F13-06</t>
        </is>
      </c>
      <c r="D196" s="27" t="inlineStr">
        <is>
          <t>审批管理</t>
        </is>
      </c>
      <c r="E196" s="11" t="inlineStr">
        <is>
          <t>开户申请审批，出入金审批，合约成交审核，多级审批工作流，审批留痕</t>
        </is>
      </c>
      <c r="F196" s="11" t="inlineStr">
        <is>
          <t>功能测试通过/正确率100%</t>
        </is>
      </c>
      <c r="G196" s="24" t="inlineStr">
        <is>
          <t>中</t>
        </is>
      </c>
      <c r="H196" s="13" t="n">
        <v>20</v>
      </c>
    </row>
    <row r="197" ht="28" customHeight="1">
      <c r="A197" s="11" t="inlineStr">
        <is>
          <t>TRS收益互换</t>
        </is>
      </c>
      <c r="B197" s="10" t="inlineStr">
        <is>
          <t>P2</t>
        </is>
      </c>
      <c r="C197" s="10" t="inlineStr">
        <is>
          <t>F13-07</t>
        </is>
      </c>
      <c r="D197" s="27" t="inlineStr">
        <is>
          <t>运营管理</t>
        </is>
      </c>
      <c r="E197" s="11" t="inlineStr">
        <is>
          <t>对账，库存管理，对冲录入，合约生命周期管理，日终结算处理</t>
        </is>
      </c>
      <c r="F197" s="11" t="inlineStr">
        <is>
          <t>功能完整/边界测试/集成冒烟/性能基线</t>
        </is>
      </c>
      <c r="G197" s="23" t="inlineStr">
        <is>
          <t>高</t>
        </is>
      </c>
      <c r="H197" s="13" t="n">
        <v>25</v>
      </c>
    </row>
    <row r="198" ht="28" customHeight="1">
      <c r="A198" s="11" t="inlineStr">
        <is>
          <t>TRS收益互换</t>
        </is>
      </c>
      <c r="B198" s="10" t="inlineStr">
        <is>
          <t>P2</t>
        </is>
      </c>
      <c r="C198" s="10" t="inlineStr">
        <is>
          <t>F13-08</t>
        </is>
      </c>
      <c r="D198" s="27" t="inlineStr">
        <is>
          <t>通知与文件生成</t>
        </is>
      </c>
      <c r="E198" s="11" t="inlineStr">
        <is>
          <t>企微通知提醒，确认书/结算单/估值报告/出入金通知自动生成并通过邮箱发送</t>
        </is>
      </c>
      <c r="F198" s="11" t="inlineStr">
        <is>
          <t>功能测试通过/正确率100%</t>
        </is>
      </c>
      <c r="G198" s="24" t="inlineStr">
        <is>
          <t>中</t>
        </is>
      </c>
      <c r="H198" s="13" t="n">
        <v>15</v>
      </c>
    </row>
    <row r="199" ht="28" customHeight="1">
      <c r="A199" s="11" t="inlineStr">
        <is>
          <t>TRS收益互换</t>
        </is>
      </c>
      <c r="B199" s="10" t="inlineStr">
        <is>
          <t>P2</t>
        </is>
      </c>
      <c r="C199" s="10" t="inlineStr">
        <is>
          <t>F13-09</t>
        </is>
      </c>
      <c r="D199" s="27" t="inlineStr">
        <is>
          <t>外部系统集成</t>
        </is>
      </c>
      <c r="E199" s="11" t="inlineStr">
        <is>
          <t>衡泰系统客户信息同步，QTrade聊天记录同步，银行流水对接，公司邮箱系统集成</t>
        </is>
      </c>
      <c r="F199" s="11" t="inlineStr">
        <is>
          <t>功能完整/边界测试/集成冒烟/性能基线</t>
        </is>
      </c>
      <c r="G199" s="23" t="inlineStr">
        <is>
          <t>高</t>
        </is>
      </c>
      <c r="H199" s="13" t="n">
        <v>25</v>
      </c>
    </row>
    <row r="200" ht="28" customHeight="1">
      <c r="A200" s="11" t="inlineStr">
        <is>
          <t>TRS收益互换</t>
        </is>
      </c>
      <c r="B200" s="10" t="inlineStr">
        <is>
          <t>P2</t>
        </is>
      </c>
      <c r="C200" s="10" t="inlineStr">
        <is>
          <t>F13-10</t>
        </is>
      </c>
      <c r="D200" s="27" t="inlineStr">
        <is>
          <t>内部系统集成</t>
        </is>
      </c>
      <c r="E200" s="11" t="inlineStr">
        <is>
          <t>现券交易系统（对冲交易执行），IBOR（持仓记录），定价平台（估值报告），事前风控（合规校验）</t>
        </is>
      </c>
      <c r="F200" s="11" t="inlineStr">
        <is>
          <t>功能完整/边界测试/集成冒烟/性能基线</t>
        </is>
      </c>
      <c r="G200" s="23" t="inlineStr">
        <is>
          <t>高</t>
        </is>
      </c>
      <c r="H200" s="13" t="n">
        <v>20</v>
      </c>
    </row>
    <row r="201" ht="20" customHeight="1">
      <c r="A201" s="29" t="inlineStr">
        <is>
          <t>【P3】 做市商系统  (Market Making)</t>
        </is>
      </c>
    </row>
    <row r="202" ht="28" customHeight="1">
      <c r="A202" s="16" t="inlineStr">
        <is>
          <t>做市商系统</t>
        </is>
      </c>
      <c r="B202" s="15" t="inlineStr">
        <is>
          <t>P3</t>
        </is>
      </c>
      <c r="C202" s="15" t="inlineStr">
        <is>
          <t>F15-01</t>
        </is>
      </c>
      <c r="D202" s="30" t="inlineStr">
        <is>
          <t>双边报价做市</t>
        </is>
      </c>
      <c r="E202" s="16" t="inlineStr">
        <is>
          <t>多品种同时双边报价，延迟&lt;5ms，报价宽度动态优化，支持国债/信用债/利率互换多品种做市</t>
        </is>
      </c>
      <c r="F202" s="16" t="inlineStr">
        <is>
          <t>p99延迟/误差率/精度验证/压测10k TPS</t>
        </is>
      </c>
      <c r="G202" s="28" t="inlineStr">
        <is>
          <t>极高</t>
        </is>
      </c>
      <c r="H202" s="18" t="n">
        <v>70</v>
      </c>
    </row>
    <row r="203" ht="28" customHeight="1">
      <c r="A203" s="16" t="inlineStr">
        <is>
          <t>做市商系统</t>
        </is>
      </c>
      <c r="B203" s="15" t="inlineStr">
        <is>
          <t>P3</t>
        </is>
      </c>
      <c r="C203" s="15" t="inlineStr">
        <is>
          <t>F15-02</t>
        </is>
      </c>
      <c r="D203" s="30" t="inlineStr">
        <is>
          <t>TRS做市服务</t>
        </is>
      </c>
      <c r="E203" s="16" t="inlineStr">
        <is>
          <t>TRS产品双边报价，与TRS收益互换系统深度集成，对冲报价敞口，支持客户TRS交易</t>
        </is>
      </c>
      <c r="F203" s="16" t="inlineStr">
        <is>
          <t>p99延迟/误差率/精度验证/压测10k TPS</t>
        </is>
      </c>
      <c r="G203" s="28" t="inlineStr">
        <is>
          <t>极高</t>
        </is>
      </c>
      <c r="H203" s="18" t="n">
        <v>40</v>
      </c>
    </row>
    <row r="204" ht="28" customHeight="1">
      <c r="A204" s="16" t="inlineStr">
        <is>
          <t>做市商系统</t>
        </is>
      </c>
      <c r="B204" s="15" t="inlineStr">
        <is>
          <t>P3</t>
        </is>
      </c>
      <c r="C204" s="15" t="inlineStr">
        <is>
          <t>F15-03</t>
        </is>
      </c>
      <c r="D204" s="30" t="inlineStr">
        <is>
          <t>RFQ询价响应</t>
        </is>
      </c>
      <c r="E204" s="16" t="inlineStr">
        <is>
          <t>接收客户询价请求，自动生成报价，报价有效期管理，成交确认，询价历史记录</t>
        </is>
      </c>
      <c r="F204" s="16" t="inlineStr">
        <is>
          <t>功能完整/边界测试/集成冒烟/性能基线</t>
        </is>
      </c>
      <c r="G204" s="23" t="inlineStr">
        <is>
          <t>高</t>
        </is>
      </c>
      <c r="H204" s="18" t="n">
        <v>25</v>
      </c>
    </row>
    <row r="205" ht="28" customHeight="1">
      <c r="A205" s="16" t="inlineStr">
        <is>
          <t>做市商系统</t>
        </is>
      </c>
      <c r="B205" s="15" t="inlineStr">
        <is>
          <t>P3</t>
        </is>
      </c>
      <c r="C205" s="15" t="inlineStr">
        <is>
          <t>F15-04</t>
        </is>
      </c>
      <c r="D205" s="30" t="inlineStr">
        <is>
          <t>API程序化做市</t>
        </is>
      </c>
      <c r="E205" s="16" t="inlineStr">
        <is>
          <t>对外提供做市API接口，支持程序化交易对手接入，流式报价推送，API鉴权与频率限制</t>
        </is>
      </c>
      <c r="F205" s="16" t="inlineStr">
        <is>
          <t>功能完整/边界测试/集成冒烟/性能基线</t>
        </is>
      </c>
      <c r="G205" s="23" t="inlineStr">
        <is>
          <t>高</t>
        </is>
      </c>
      <c r="H205" s="18" t="n">
        <v>25</v>
      </c>
    </row>
    <row r="206" ht="28" customHeight="1">
      <c r="A206" s="16" t="inlineStr">
        <is>
          <t>做市商系统</t>
        </is>
      </c>
      <c r="B206" s="15" t="inlineStr">
        <is>
          <t>P3</t>
        </is>
      </c>
      <c r="C206" s="15" t="inlineStr">
        <is>
          <t>F15-05</t>
        </is>
      </c>
      <c r="D206" s="30" t="inlineStr">
        <is>
          <t>报价策略配置</t>
        </is>
      </c>
      <c r="E206" s="16" t="inlineStr">
        <is>
          <t>各品种做市参数配置（报价宽度/报价量/报价频率），分时段策略，按交易对手差异化报价</t>
        </is>
      </c>
      <c r="F206" s="16" t="inlineStr">
        <is>
          <t>功能测试通过/正确率100%</t>
        </is>
      </c>
      <c r="G206" s="24" t="inlineStr">
        <is>
          <t>中</t>
        </is>
      </c>
      <c r="H206" s="18" t="n">
        <v>20</v>
      </c>
    </row>
    <row r="207" ht="28" customHeight="1">
      <c r="A207" s="16" t="inlineStr">
        <is>
          <t>做市商系统</t>
        </is>
      </c>
      <c r="B207" s="15" t="inlineStr">
        <is>
          <t>P3</t>
        </is>
      </c>
      <c r="C207" s="15" t="inlineStr">
        <is>
          <t>F15-06</t>
        </is>
      </c>
      <c r="D207" s="30" t="inlineStr">
        <is>
          <t>报价优化算法</t>
        </is>
      </c>
      <c r="E207" s="16" t="inlineStr">
        <is>
          <t>基于市场微结构理论动态调整bid-ask spread，流动性自适应调节，机器学习辅助报价优化</t>
        </is>
      </c>
      <c r="F207" s="16" t="inlineStr">
        <is>
          <t>p99延迟/误差率/精度验证/压测10k TPS</t>
        </is>
      </c>
      <c r="G207" s="28" t="inlineStr">
        <is>
          <t>极高</t>
        </is>
      </c>
      <c r="H207" s="18" t="n">
        <v>50</v>
      </c>
    </row>
    <row r="208" ht="28" customHeight="1">
      <c r="A208" s="16" t="inlineStr">
        <is>
          <t>做市商系统</t>
        </is>
      </c>
      <c r="B208" s="15" t="inlineStr">
        <is>
          <t>P3</t>
        </is>
      </c>
      <c r="C208" s="15" t="inlineStr">
        <is>
          <t>F15-07</t>
        </is>
      </c>
      <c r="D208" s="30" t="inlineStr">
        <is>
          <t>债券过滤与筛选</t>
        </is>
      </c>
      <c r="E208" s="16" t="inlineStr">
        <is>
          <t>做市标的券池管理，流动性分级筛选，黑名单管理，临时暂停做市规则</t>
        </is>
      </c>
      <c r="F208" s="16" t="inlineStr">
        <is>
          <t>功能测试通过</t>
        </is>
      </c>
      <c r="G208" s="25" t="inlineStr">
        <is>
          <t>低</t>
        </is>
      </c>
      <c r="H208" s="18" t="n">
        <v>10</v>
      </c>
    </row>
    <row r="209" ht="28" customHeight="1">
      <c r="A209" s="16" t="inlineStr">
        <is>
          <t>做市商系统</t>
        </is>
      </c>
      <c r="B209" s="15" t="inlineStr">
        <is>
          <t>P3</t>
        </is>
      </c>
      <c r="C209" s="15" t="inlineStr">
        <is>
          <t>F15-08</t>
        </is>
      </c>
      <c r="D209" s="30" t="inlineStr">
        <is>
          <t>做市义务实时监控</t>
        </is>
      </c>
      <c r="E209" s="16" t="inlineStr">
        <is>
          <t>实时监控做市义务完成情况（报价连续性/报价宽度/报价量达标），义务违规预警，监管报告生成</t>
        </is>
      </c>
      <c r="F209" s="16" t="inlineStr">
        <is>
          <t>功能完整/边界测试/集成冒烟/性能基线</t>
        </is>
      </c>
      <c r="G209" s="23" t="inlineStr">
        <is>
          <t>高</t>
        </is>
      </c>
      <c r="H209" s="18" t="n">
        <v>30</v>
      </c>
    </row>
    <row r="210" ht="28" customHeight="1">
      <c r="A210" s="16" t="inlineStr">
        <is>
          <t>做市商系统</t>
        </is>
      </c>
      <c r="B210" s="15" t="inlineStr">
        <is>
          <t>P3</t>
        </is>
      </c>
      <c r="C210" s="15" t="inlineStr">
        <is>
          <t>F15-09</t>
        </is>
      </c>
      <c r="D210" s="30" t="inlineStr">
        <is>
          <t>做市行情展示</t>
        </is>
      </c>
      <c r="E210" s="16" t="inlineStr">
        <is>
          <t>做市报价行情矩阵，实时价格展示，报价历史回放，市场最优报价对比，中签率统计</t>
        </is>
      </c>
      <c r="F210" s="16" t="inlineStr">
        <is>
          <t>功能测试通过/正确率100%</t>
        </is>
      </c>
      <c r="G210" s="24" t="inlineStr">
        <is>
          <t>中</t>
        </is>
      </c>
      <c r="H210" s="18" t="n">
        <v>20</v>
      </c>
    </row>
    <row r="211" ht="28" customHeight="1">
      <c r="A211" s="16" t="inlineStr">
        <is>
          <t>做市商系统</t>
        </is>
      </c>
      <c r="B211" s="15" t="inlineStr">
        <is>
          <t>P3</t>
        </is>
      </c>
      <c r="C211" s="15" t="inlineStr">
        <is>
          <t>F15-10</t>
        </is>
      </c>
      <c r="D211" s="30" t="inlineStr">
        <is>
          <t>做市订单管理</t>
        </is>
      </c>
      <c r="E211" s="16" t="inlineStr">
        <is>
          <t>做市委托生成、撤改、成交回报处理，订单状态实时跟踪，批量撤单，做市台账</t>
        </is>
      </c>
      <c r="F211" s="16" t="inlineStr">
        <is>
          <t>功能完整/边界测试/集成冒烟/性能基线</t>
        </is>
      </c>
      <c r="G211" s="23" t="inlineStr">
        <is>
          <t>高</t>
        </is>
      </c>
      <c r="H211" s="18" t="n">
        <v>30</v>
      </c>
    </row>
    <row r="212" ht="28" customHeight="1">
      <c r="A212" s="16" t="inlineStr">
        <is>
          <t>做市商系统</t>
        </is>
      </c>
      <c r="B212" s="15" t="inlineStr">
        <is>
          <t>P3</t>
        </is>
      </c>
      <c r="C212" s="15" t="inlineStr">
        <is>
          <t>F15-11</t>
        </is>
      </c>
      <c r="D212" s="30" t="inlineStr">
        <is>
          <t>库存风险实时管理</t>
        </is>
      </c>
      <c r="E212" s="16" t="inlineStr">
        <is>
          <t>做市库存PnL实时监控，Delta对冲自动触发，库存敞口上限控制，实时盯市损益</t>
        </is>
      </c>
      <c r="F212" s="16" t="inlineStr">
        <is>
          <t>p99延迟/误差率/精度验证/压测10k TPS</t>
        </is>
      </c>
      <c r="G212" s="28" t="inlineStr">
        <is>
          <t>极高</t>
        </is>
      </c>
      <c r="H212" s="18" t="n">
        <v>60</v>
      </c>
    </row>
    <row r="213" ht="28" customHeight="1">
      <c r="A213" s="16" t="inlineStr">
        <is>
          <t>做市商系统</t>
        </is>
      </c>
      <c r="B213" s="15" t="inlineStr">
        <is>
          <t>P3</t>
        </is>
      </c>
      <c r="C213" s="15" t="inlineStr">
        <is>
          <t>F15-12</t>
        </is>
      </c>
      <c r="D213" s="30" t="inlineStr">
        <is>
          <t>竞争力分析</t>
        </is>
      </c>
      <c r="E213" s="16" t="inlineStr">
        <is>
          <t>与市场最优报价对比，中签率分析，报价表现统计，策略调优建议，竞争对手报价分析</t>
        </is>
      </c>
      <c r="F213" s="16" t="inlineStr">
        <is>
          <t>功能完整/边界测试/集成冒烟/性能基线</t>
        </is>
      </c>
      <c r="G213" s="23" t="inlineStr">
        <is>
          <t>高</t>
        </is>
      </c>
      <c r="H213" s="18" t="n">
        <v>25</v>
      </c>
    </row>
    <row r="214">
      <c r="A214" s="19" t="inlineStr">
        <is>
          <t>总计功能数 / Total Function Points</t>
        </is>
      </c>
      <c r="H214" s="20">
        <f>SUM(H3:H213)</f>
        <v/>
      </c>
    </row>
  </sheetData>
  <mergeCells count="16">
    <mergeCell ref="A131:H131"/>
    <mergeCell ref="A144:H144"/>
    <mergeCell ref="A3:H3"/>
    <mergeCell ref="A101:H101"/>
    <mergeCell ref="A201:H201"/>
    <mergeCell ref="A190:H190"/>
    <mergeCell ref="A214:G214"/>
    <mergeCell ref="A160:H160"/>
    <mergeCell ref="A60:H60"/>
    <mergeCell ref="A112:H112"/>
    <mergeCell ref="A68:H68"/>
    <mergeCell ref="A181:H181"/>
    <mergeCell ref="A1:H1"/>
    <mergeCell ref="A31:H31"/>
    <mergeCell ref="A168:H168"/>
    <mergeCell ref="A88:H8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</cols>
  <sheetData>
    <row r="1" ht="22" customHeight="1">
      <c r="A1" s="1" t="inlineStr">
        <is>
          <t>FICC平台建设资源规划（三期）  —  华锐技术 / 2026</t>
        </is>
      </c>
    </row>
    <row r="2" ht="36" customHeight="1">
      <c r="A2" s="31" t="inlineStr">
        <is>
          <t>岗位</t>
        </is>
      </c>
      <c r="B2" s="31" t="inlineStr">
        <is>
          <t>职责说明</t>
        </is>
      </c>
      <c r="C2" s="31" t="inlineStr">
        <is>
          <t>Phase 1（M1-M10）
P1模块 — 核心平台建设</t>
        </is>
      </c>
      <c r="F2" s="31" t="inlineStr">
        <is>
          <t>Phase 2（M11-M20）
P2模块 — 能力扩展</t>
        </is>
      </c>
      <c r="I2" s="31" t="inlineStr">
        <is>
          <t>Phase 3（M21-M27）
P3模块 — 战略深水区</t>
        </is>
      </c>
      <c r="L2" s="31" t="inlineStr">
        <is>
          <t>总招募
峰值人力</t>
        </is>
      </c>
    </row>
    <row r="3" ht="20" customHeight="1">
      <c r="C3" s="28" t="inlineStr">
        <is>
          <t>招募(人)</t>
        </is>
      </c>
      <c r="D3" s="28" t="inlineStr">
        <is>
          <t>工期(月)</t>
        </is>
      </c>
      <c r="E3" s="28" t="inlineStr">
        <is>
          <t>人月</t>
        </is>
      </c>
      <c r="F3" s="28" t="inlineStr">
        <is>
          <t>招募(人)</t>
        </is>
      </c>
      <c r="G3" s="28" t="inlineStr">
        <is>
          <t>工期(月)</t>
        </is>
      </c>
      <c r="H3" s="28" t="inlineStr">
        <is>
          <t>人月</t>
        </is>
      </c>
      <c r="I3" s="28" t="inlineStr">
        <is>
          <t>招募(人)</t>
        </is>
      </c>
      <c r="J3" s="28" t="inlineStr">
        <is>
          <t>工期(月)</t>
        </is>
      </c>
      <c r="K3" s="28" t="inlineStr">
        <is>
          <t>人月</t>
        </is>
      </c>
    </row>
    <row r="4" ht="32" customHeight="1">
      <c r="A4" s="27" t="inlineStr">
        <is>
          <t>FICC业务架构师
FICC Business Architect</t>
        </is>
      </c>
      <c r="B4" s="11" t="inlineStr">
        <is>
          <t>负责各模块业务需求与架构设计，需有银行间/衍生品经验</t>
        </is>
      </c>
      <c r="C4" s="13" t="n">
        <v>2</v>
      </c>
      <c r="D4" s="10" t="n">
        <v>10</v>
      </c>
      <c r="E4" s="10">
        <f>C4*D4</f>
        <v/>
      </c>
      <c r="F4" s="13" t="n">
        <v>2</v>
      </c>
      <c r="G4" s="10" t="n">
        <v>10</v>
      </c>
      <c r="H4" s="10">
        <f>F4*G4</f>
        <v/>
      </c>
      <c r="I4" s="13" t="n">
        <v>1</v>
      </c>
      <c r="J4" s="10" t="n">
        <v>7</v>
      </c>
      <c r="K4" s="10">
        <f>I4*J4</f>
        <v/>
      </c>
      <c r="L4" s="32">
        <f>MAX(C4,F4,I4)</f>
        <v/>
      </c>
    </row>
    <row r="5" ht="32" customHeight="1">
      <c r="A5" s="4" t="inlineStr">
        <is>
          <t>后端研发工程师
Backend Engineer</t>
        </is>
      </c>
      <c r="B5" s="5" t="inlineStr">
        <is>
          <t>Java/Go微服务，低延迟计算，Kafka/Redis</t>
        </is>
      </c>
      <c r="C5" s="8" t="n">
        <v>15</v>
      </c>
      <c r="D5" s="3" t="n">
        <v>10</v>
      </c>
      <c r="E5" s="3">
        <f>C5*D5</f>
        <v/>
      </c>
      <c r="F5" s="8" t="n">
        <v>20</v>
      </c>
      <c r="G5" s="3" t="n">
        <v>10</v>
      </c>
      <c r="H5" s="3">
        <f>F5*G5</f>
        <v/>
      </c>
      <c r="I5" s="8" t="n">
        <v>10</v>
      </c>
      <c r="J5" s="3" t="n">
        <v>7</v>
      </c>
      <c r="K5" s="3">
        <f>I5*J5</f>
        <v/>
      </c>
      <c r="L5" s="33">
        <f>MAX(C5,F5,I5)</f>
        <v/>
      </c>
    </row>
    <row r="6" ht="32" customHeight="1">
      <c r="A6" s="27" t="inlineStr">
        <is>
          <t>量化研究员
Quant Researcher</t>
        </is>
      </c>
      <c r="B6" s="11" t="inlineStr">
        <is>
          <t>定价模型、风险计量、因子模型，Python/C++</t>
        </is>
      </c>
      <c r="C6" s="13" t="n">
        <v>6</v>
      </c>
      <c r="D6" s="10" t="n">
        <v>10</v>
      </c>
      <c r="E6" s="10">
        <f>C6*D6</f>
        <v/>
      </c>
      <c r="F6" s="13" t="n">
        <v>8</v>
      </c>
      <c r="G6" s="10" t="n">
        <v>10</v>
      </c>
      <c r="H6" s="10">
        <f>F6*G6</f>
        <v/>
      </c>
      <c r="I6" s="13" t="n">
        <v>4</v>
      </c>
      <c r="J6" s="10" t="n">
        <v>7</v>
      </c>
      <c r="K6" s="10">
        <f>I6*J6</f>
        <v/>
      </c>
      <c r="L6" s="32">
        <f>MAX(C6,F6,I6)</f>
        <v/>
      </c>
    </row>
    <row r="7" ht="32" customHeight="1">
      <c r="A7" s="27" t="inlineStr">
        <is>
          <t>前端研发工程师
Frontend Engineer</t>
        </is>
      </c>
      <c r="B7" s="11" t="inlineStr">
        <is>
          <t>交易终端UI，React/Vue，实时数据展示</t>
        </is>
      </c>
      <c r="C7" s="13" t="n">
        <v>4</v>
      </c>
      <c r="D7" s="10" t="n">
        <v>10</v>
      </c>
      <c r="E7" s="10">
        <f>C7*D7</f>
        <v/>
      </c>
      <c r="F7" s="13" t="n">
        <v>6</v>
      </c>
      <c r="G7" s="10" t="n">
        <v>10</v>
      </c>
      <c r="H7" s="10">
        <f>F7*G7</f>
        <v/>
      </c>
      <c r="I7" s="13" t="n">
        <v>3</v>
      </c>
      <c r="J7" s="10" t="n">
        <v>7</v>
      </c>
      <c r="K7" s="10">
        <f>I7*J7</f>
        <v/>
      </c>
      <c r="L7" s="32">
        <f>MAX(C7,F7,I7)</f>
        <v/>
      </c>
    </row>
    <row r="8" ht="32" customHeight="1">
      <c r="A8" s="27" t="inlineStr">
        <is>
          <t>数据工程师
Data Engineer</t>
        </is>
      </c>
      <c r="B8" s="11" t="inlineStr">
        <is>
          <t>行情接入、数据管道、历史数据仓库</t>
        </is>
      </c>
      <c r="C8" s="13" t="n">
        <v>3</v>
      </c>
      <c r="D8" s="10" t="n">
        <v>10</v>
      </c>
      <c r="E8" s="10">
        <f>C8*D8</f>
        <v/>
      </c>
      <c r="F8" s="13" t="n">
        <v>4</v>
      </c>
      <c r="G8" s="10" t="n">
        <v>10</v>
      </c>
      <c r="H8" s="10">
        <f>F8*G8</f>
        <v/>
      </c>
      <c r="I8" s="13" t="n">
        <v>2</v>
      </c>
      <c r="J8" s="10" t="n">
        <v>7</v>
      </c>
      <c r="K8" s="10">
        <f>I8*J8</f>
        <v/>
      </c>
      <c r="L8" s="32">
        <f>MAX(C8,F8,I8)</f>
        <v/>
      </c>
    </row>
    <row r="9" ht="32" customHeight="1">
      <c r="A9" s="27" t="inlineStr">
        <is>
          <t>测试工程师
QA Engineer</t>
        </is>
      </c>
      <c r="B9" s="11" t="inlineStr">
        <is>
          <t>自动化测试，压测，合规验证</t>
        </is>
      </c>
      <c r="C9" s="13" t="n">
        <v>4</v>
      </c>
      <c r="D9" s="10" t="n">
        <v>10</v>
      </c>
      <c r="E9" s="10">
        <f>C9*D9</f>
        <v/>
      </c>
      <c r="F9" s="13" t="n">
        <v>6</v>
      </c>
      <c r="G9" s="10" t="n">
        <v>10</v>
      </c>
      <c r="H9" s="10">
        <f>F9*G9</f>
        <v/>
      </c>
      <c r="I9" s="13" t="n">
        <v>3</v>
      </c>
      <c r="J9" s="10" t="n">
        <v>7</v>
      </c>
      <c r="K9" s="10">
        <f>I9*J9</f>
        <v/>
      </c>
      <c r="L9" s="32">
        <f>MAX(C9,F9,I9)</f>
        <v/>
      </c>
    </row>
    <row r="10" ht="32" customHeight="1">
      <c r="A10" s="27" t="inlineStr">
        <is>
          <t>产品经理/BA
Product Manager / BA</t>
        </is>
      </c>
      <c r="B10" s="11" t="inlineStr">
        <is>
          <t>需求梳理、验收标准、客户沟通</t>
        </is>
      </c>
      <c r="C10" s="13" t="n">
        <v>3</v>
      </c>
      <c r="D10" s="10" t="n">
        <v>10</v>
      </c>
      <c r="E10" s="10">
        <f>C10*D10</f>
        <v/>
      </c>
      <c r="F10" s="13" t="n">
        <v>3</v>
      </c>
      <c r="G10" s="10" t="n">
        <v>10</v>
      </c>
      <c r="H10" s="10">
        <f>F10*G10</f>
        <v/>
      </c>
      <c r="I10" s="13" t="n">
        <v>2</v>
      </c>
      <c r="J10" s="10" t="n">
        <v>7</v>
      </c>
      <c r="K10" s="10">
        <f>I10*J10</f>
        <v/>
      </c>
      <c r="L10" s="32">
        <f>MAX(C10,F10,I10)</f>
        <v/>
      </c>
    </row>
    <row r="11" ht="32" customHeight="1">
      <c r="A11" s="27" t="inlineStr">
        <is>
          <t>DevOps/基础设施
DevOps / Infra</t>
        </is>
      </c>
      <c r="B11" s="11" t="inlineStr">
        <is>
          <t>信创部署、K8s、监控告警体系</t>
        </is>
      </c>
      <c r="C11" s="13" t="n">
        <v>2</v>
      </c>
      <c r="D11" s="10" t="n">
        <v>10</v>
      </c>
      <c r="E11" s="10">
        <f>C11*D11</f>
        <v/>
      </c>
      <c r="F11" s="13" t="n">
        <v>3</v>
      </c>
      <c r="G11" s="10" t="n">
        <v>10</v>
      </c>
      <c r="H11" s="10">
        <f>F11*G11</f>
        <v/>
      </c>
      <c r="I11" s="13" t="n">
        <v>2</v>
      </c>
      <c r="J11" s="10" t="n">
        <v>7</v>
      </c>
      <c r="K11" s="10">
        <f>I11*J11</f>
        <v/>
      </c>
      <c r="L11" s="32">
        <f>MAX(C11,F11,I11)</f>
        <v/>
      </c>
    </row>
    <row r="12" ht="32" customHeight="1">
      <c r="A12" s="27" t="inlineStr">
        <is>
          <t>安全合规专家
Security &amp; Compliance</t>
        </is>
      </c>
      <c r="B12" s="11" t="inlineStr">
        <is>
          <t>合规规则库维护，监管报送，数据安全</t>
        </is>
      </c>
      <c r="C12" s="13" t="n">
        <v>1</v>
      </c>
      <c r="D12" s="10" t="n">
        <v>10</v>
      </c>
      <c r="E12" s="10">
        <f>C12*D12</f>
        <v/>
      </c>
      <c r="F12" s="13" t="n">
        <v>2</v>
      </c>
      <c r="G12" s="10" t="n">
        <v>10</v>
      </c>
      <c r="H12" s="10">
        <f>F12*G12</f>
        <v/>
      </c>
      <c r="I12" s="13" t="n">
        <v>1</v>
      </c>
      <c r="J12" s="10" t="n">
        <v>7</v>
      </c>
      <c r="K12" s="10">
        <f>I12*J12</f>
        <v/>
      </c>
      <c r="L12" s="32">
        <f>MAX(C12,F12,I12)</f>
        <v/>
      </c>
    </row>
    <row r="13">
      <c r="A13" s="19" t="inlineStr">
        <is>
          <t>合计 Totals</t>
        </is>
      </c>
      <c r="C13" s="20">
        <f>SUM(C4:C12)</f>
        <v/>
      </c>
      <c r="D13" s="34" t="inlineStr"/>
      <c r="E13" s="34" t="inlineStr"/>
      <c r="F13" s="20">
        <f>SUM(F4:F12)</f>
        <v/>
      </c>
      <c r="G13" s="34" t="inlineStr"/>
      <c r="H13" s="34" t="inlineStr"/>
      <c r="I13" s="20">
        <f>SUM(I4:I12)</f>
        <v/>
      </c>
      <c r="J13" s="34" t="inlineStr"/>
      <c r="K13" s="34" t="inlineStr"/>
      <c r="L13" s="20">
        <f>SUM(L4:L12)</f>
        <v/>
      </c>
    </row>
    <row r="15" ht="40" customHeight="1">
      <c r="A15" s="35" t="inlineStr">
        <is>
          <t>规划假设说明：① 各阶段人力可累计复用（P2团队延续P1人员，适当扩张）  ② 量化研究员稀缺，建议优先招募，外部顾问补充  ③ 信创合规专家建议从监管/银行方引进  ④ 峰值人力约40人（Phase 2），建议2026Q3启动Phase 1招募</t>
        </is>
      </c>
    </row>
  </sheetData>
  <mergeCells count="9">
    <mergeCell ref="C2:E2"/>
    <mergeCell ref="A15:L15"/>
    <mergeCell ref="I2:K2"/>
    <mergeCell ref="A1:L1"/>
    <mergeCell ref="A13:B13"/>
    <mergeCell ref="F2:H2"/>
    <mergeCell ref="B2:B3"/>
    <mergeCell ref="A2:A3"/>
    <mergeCell ref="L2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2" customWidth="1" min="3" max="3"/>
    <col width="22" customWidth="1" min="4" max="4"/>
    <col width="22" customWidth="1" min="5" max="5"/>
    <col width="22" customWidth="1" min="6" max="6"/>
    <col width="14" customWidth="1" min="7" max="7"/>
    <col width="8" customWidth="1" min="8" max="8"/>
    <col width="8" customWidth="1" min="9" max="9"/>
    <col width="22" customWidth="1" min="10" max="10"/>
  </cols>
  <sheetData>
    <row r="1">
      <c r="A1" s="1" t="inlineStr">
        <is>
          <t>P1重点模块优先启动计划  —  华锐技术 FICC / 2026-2027</t>
        </is>
      </c>
    </row>
    <row r="2" ht="26" customHeight="1">
      <c r="A2" s="2" t="inlineStr">
        <is>
          <t>模块</t>
        </is>
      </c>
      <c r="B2" s="2" t="inlineStr">
        <is>
          <t>启动月份</t>
        </is>
      </c>
      <c r="C2" s="2" t="inlineStr">
        <is>
          <t>验收里程碑</t>
        </is>
      </c>
      <c r="D2" s="2" t="inlineStr">
        <is>
          <t>首个客户场景</t>
        </is>
      </c>
      <c r="E2" s="2" t="inlineStr">
        <is>
          <t>核心技术风险</t>
        </is>
      </c>
      <c r="F2" s="2" t="inlineStr">
        <is>
          <t>风险缓解策略</t>
        </is>
      </c>
      <c r="G2" s="2" t="inlineStr">
        <is>
          <t>负责团队</t>
        </is>
      </c>
      <c r="H2" s="2" t="inlineStr">
        <is>
          <t>工期(月)</t>
        </is>
      </c>
      <c r="I2" s="2" t="inlineStr">
        <is>
          <t>团队(人)</t>
        </is>
      </c>
      <c r="J2" s="2" t="inlineStr">
        <is>
          <t>快赢商业价值</t>
        </is>
      </c>
    </row>
    <row r="3" ht="44" customHeight="1">
      <c r="A3" s="4" t="inlineStr">
        <is>
          <t>1. 异常交易风控</t>
        </is>
      </c>
      <c r="B3" s="6" t="inlineStr">
        <is>
          <t>M1</t>
        </is>
      </c>
      <c r="C3" s="5" t="inlineStr">
        <is>
          <t>上线：10支债券实时监控告警，0漏报</t>
        </is>
      </c>
      <c r="D3" s="5" t="inlineStr">
        <is>
          <t>某券商债券异常订单旁路检测</t>
        </is>
      </c>
      <c r="E3" s="36" t="inlineStr">
        <is>
          <t>CEP引擎低延迟稳定性</t>
        </is>
      </c>
      <c r="F3" s="5" t="inlineStr">
        <is>
          <t>规则引擎轻量先行，ML模型后置</t>
        </is>
      </c>
      <c r="G3" s="3" t="inlineStr">
        <is>
          <t>风控平台组</t>
        </is>
      </c>
      <c r="H3" s="8" t="n">
        <v>8</v>
      </c>
      <c r="I3" s="8" t="n">
        <v>8</v>
      </c>
      <c r="J3" s="4" t="inlineStr">
        <is>
          <t>监管驱动，客户愿付费，快速复制推广</t>
        </is>
      </c>
    </row>
    <row r="4" ht="44" customHeight="1">
      <c r="A4" s="4" t="inlineStr">
        <is>
          <t>2. 事前风控/合规</t>
        </is>
      </c>
      <c r="B4" s="6" t="inlineStr">
        <is>
          <t>M1</t>
        </is>
      </c>
      <c r="C4" s="5" t="inlineStr">
        <is>
          <t>上线：200+合规规则覆盖，0漏拦</t>
        </is>
      </c>
      <c r="D4" s="5" t="inlineStr">
        <is>
          <t>某券商自营债券投资合规校验</t>
        </is>
      </c>
      <c r="E4" s="36" t="inlineStr">
        <is>
          <t>规则库完整性</t>
        </is>
      </c>
      <c r="F4" s="5" t="inlineStr">
        <is>
          <t>与合规团队联合建规则</t>
        </is>
      </c>
      <c r="G4" s="3" t="inlineStr">
        <is>
          <t>风控平台组</t>
        </is>
      </c>
      <c r="H4" s="8" t="n">
        <v>6</v>
      </c>
      <c r="I4" s="8" t="n">
        <v>6</v>
      </c>
      <c r="J4" s="4" t="inlineStr">
        <is>
          <t>与异常风控组合销售，提升ARPU</t>
        </is>
      </c>
    </row>
    <row r="5" ht="44" customHeight="1">
      <c r="A5" s="4" t="inlineStr">
        <is>
          <t>3. IBOR投资账薄管理</t>
        </is>
      </c>
      <c r="B5" s="6" t="inlineStr">
        <is>
          <t>M2</t>
        </is>
      </c>
      <c r="C5" s="5" t="inlineStr">
        <is>
          <t>上线：实时持仓净值，T0对账零差异</t>
        </is>
      </c>
      <c r="D5" s="5" t="inlineStr">
        <is>
          <t>资管公司债券持仓实时账薄</t>
        </is>
      </c>
      <c r="E5" s="36" t="inlineStr">
        <is>
          <t>多资产估值覆盖率</t>
        </is>
      </c>
      <c r="F5" s="5" t="inlineStr">
        <is>
          <t>分批上线（先债券，后衍生品）</t>
        </is>
      </c>
      <c r="G5" s="3" t="inlineStr">
        <is>
          <t>平台基础组</t>
        </is>
      </c>
      <c r="H5" s="8" t="n">
        <v>12</v>
      </c>
      <c r="I5" s="8" t="n">
        <v>14</v>
      </c>
      <c r="J5" s="4" t="inlineStr">
        <is>
          <t>平台锁定效应，长期替换衡泰IBOR</t>
        </is>
      </c>
    </row>
    <row r="6" ht="44" customHeight="1">
      <c r="A6" s="4" t="inlineStr">
        <is>
          <t>4. 现券交易系统</t>
        </is>
      </c>
      <c r="B6" s="6" t="inlineStr">
        <is>
          <t>M2</t>
        </is>
      </c>
      <c r="C6" s="5" t="inlineStr">
        <is>
          <t>上线：银行间+交易所双市场报盘</t>
        </is>
      </c>
      <c r="D6" s="5" t="inlineStr">
        <is>
          <t>替换某券商现有债券交易终端</t>
        </is>
      </c>
      <c r="E6" s="36" t="inlineStr">
        <is>
          <t>CFETS接口稳定性</t>
        </is>
      </c>
      <c r="F6" s="5" t="inlineStr">
        <is>
          <t>早期接入测试环境联调</t>
        </is>
      </c>
      <c r="G6" s="3" t="inlineStr">
        <is>
          <t>交易系统组</t>
        </is>
      </c>
      <c r="H6" s="8" t="n">
        <v>6</v>
      </c>
      <c r="I6" s="8" t="n">
        <v>8</v>
      </c>
      <c r="J6" s="4" t="inlineStr">
        <is>
          <t>替换恒生/金证，直接竞争替代</t>
        </is>
      </c>
    </row>
    <row r="7" ht="44" customHeight="1">
      <c r="A7" s="4" t="inlineStr">
        <is>
          <t>5. FICC风险计量平台</t>
        </is>
      </c>
      <c r="B7" s="6" t="inlineStr">
        <is>
          <t>M3</t>
        </is>
      </c>
      <c r="C7" s="5" t="inlineStr">
        <is>
          <t>上线：VaR/压测，监管格式报告</t>
        </is>
      </c>
      <c r="D7" s="5" t="inlineStr">
        <is>
          <t>某券商FICC组合风险日报</t>
        </is>
      </c>
      <c r="E7" s="36" t="inlineStr">
        <is>
          <t>模型精度vs衡泰基准</t>
        </is>
      </c>
      <c r="F7" s="5" t="inlineStr">
        <is>
          <t>首期仅VaR/ES，CVA后置</t>
        </is>
      </c>
      <c r="G7" s="3" t="inlineStr">
        <is>
          <t>风控平台组</t>
        </is>
      </c>
      <c r="H7" s="8" t="n">
        <v>14</v>
      </c>
      <c r="I7" s="8" t="n">
        <v>12</v>
      </c>
      <c r="J7" s="4" t="inlineStr">
        <is>
          <t>直接替代衡泰，高溢价定价</t>
        </is>
      </c>
    </row>
    <row r="8" ht="44" customHeight="1">
      <c r="A8" s="4" t="inlineStr">
        <is>
          <t>6. 组合管理+绩效归因</t>
        </is>
      </c>
      <c r="B8" s="6" t="inlineStr">
        <is>
          <t>M4</t>
        </is>
      </c>
      <c r="C8" s="5" t="inlineStr">
        <is>
          <t>上线：Brinson归因，周报自动生成</t>
        </is>
      </c>
      <c r="D8" s="5" t="inlineStr">
        <is>
          <t>资管公司固收组合绩效分析</t>
        </is>
      </c>
      <c r="E8" s="36" t="inlineStr">
        <is>
          <t>Brinson模型精度验证</t>
        </is>
      </c>
      <c r="F8" s="5" t="inlineStr">
        <is>
          <t>对标Bloomberg绩效分析基准</t>
        </is>
      </c>
      <c r="G8" s="3" t="inlineStr">
        <is>
          <t>投资管理组</t>
        </is>
      </c>
      <c r="H8" s="8" t="n">
        <v>14</v>
      </c>
      <c r="I8" s="8" t="n">
        <v>14</v>
      </c>
      <c r="J8" s="4" t="inlineStr">
        <is>
          <t>高端客户差异化，替代SimCorp/衡泰</t>
        </is>
      </c>
    </row>
    <row r="9" ht="44" customHeight="1">
      <c r="A9" s="4" t="inlineStr">
        <is>
          <t>7. 策略投资/量化</t>
        </is>
      </c>
      <c r="B9" s="6" t="inlineStr">
        <is>
          <t>M5</t>
        </is>
      </c>
      <c r="C9" s="5" t="inlineStr">
        <is>
          <t>上线：回测引擎，3个策略实盘验证</t>
        </is>
      </c>
      <c r="D9" s="5" t="inlineStr">
        <is>
          <t>自营量化部门策略回测平台</t>
        </is>
      </c>
      <c r="E9" s="36" t="inlineStr">
        <is>
          <t>Tick回测数据质量</t>
        </is>
      </c>
      <c r="F9" s="5" t="inlineStr">
        <is>
          <t>先与AMD行情平台深度整合</t>
        </is>
      </c>
      <c r="G9" s="3" t="inlineStr">
        <is>
          <t>量化研究组</t>
        </is>
      </c>
      <c r="H9" s="8" t="n">
        <v>12</v>
      </c>
      <c r="I9" s="8" t="n">
        <v>12</v>
      </c>
      <c r="J9" s="4" t="inlineStr">
        <is>
          <t>高壁垒护城河，未来SaaS化</t>
        </is>
      </c>
    </row>
    <row r="11" ht="52" customHeight="1">
      <c r="A11" s="37" t="inlineStr">
        <is>
          <t>P1阶段战略重心：① 快赢先行（异常风控+事前合规M1并行，6个月见成果）  ② 主干平行（IBOR+现券M2启动，建立账薄主干）  ③ 差异化（量化策略+绩效归因M4-M5，构建高壁垒能力）  ④ 替代衡泰（FICC风险计量M3启动，以信创+精度优势直攻垄断盲区）</t>
        </is>
      </c>
    </row>
  </sheetData>
  <mergeCells count="2">
    <mergeCell ref="A1:J1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系统详情：IBOR投资账薄管理  |  IBOR</t>
        </is>
      </c>
    </row>
    <row r="2" ht="36" customHeight="1">
      <c r="A2" s="39" t="inlineStr">
        <is>
          <t>战略定位：整个FICC平台的账薄主干，27项功能覆盖持仓/现金/估值/事件/对账/合规/试算全链路   |   来源：Slide 55   |   数据输入：交易指令数据 / 行情/估值数据 / 资产主数据 / 托管行结算通知   |   量化底座：账户体系(AMI/AMDB) · Kafka实时消息 · Redis分布式缓存</t>
        </is>
      </c>
    </row>
    <row r="3" ht="28" customHeight="1">
      <c r="A3" s="40" t="inlineStr">
        <is>
          <t>模块：IBOR投资账薄管理  (IBOR)  |  优先级：P1  |  竞品：衡泰(老旧)  |  华锐基础：AMI/AMDB账户体系  |  工期：12月  团队：14人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A. 实时持仓管理</t>
        </is>
      </c>
    </row>
    <row r="6" ht="48" customHeight="1">
      <c r="A6" s="5" t="inlineStr">
        <is>
          <t>A. 实时持仓管理</t>
        </is>
      </c>
      <c r="B6" s="3" t="inlineStr">
        <is>
          <t>F01-01</t>
        </is>
      </c>
      <c r="C6" s="4" t="inlineStr">
        <is>
          <t>全资产实时头寸</t>
        </is>
      </c>
      <c r="D6" s="5" t="inlineStr">
        <is>
          <t>债券/回购/利率衍生品全品种T0实时持仓，含未交割与待交割敞口分层展示</t>
        </is>
      </c>
      <c r="E6" s="5" t="inlineStr">
        <is>
          <t>持仓更新延迟&lt;500ms，全品种覆盖率100%</t>
        </is>
      </c>
      <c r="F6" s="5" t="inlineStr">
        <is>
          <t>交易系统OMS/ATP报盘接口</t>
        </is>
      </c>
      <c r="G6" s="41" t="inlineStr">
        <is>
          <t>高</t>
        </is>
      </c>
      <c r="H6" s="8" t="n">
        <v>40</v>
      </c>
      <c r="I6" s="6" t="inlineStr">
        <is>
          <t>P1</t>
        </is>
      </c>
      <c r="J6" s="5" t="inlineStr"/>
    </row>
    <row r="7" ht="48" customHeight="1">
      <c r="A7" s="5" t="inlineStr">
        <is>
          <t>A. 实时持仓管理</t>
        </is>
      </c>
      <c r="B7" s="3" t="inlineStr">
        <is>
          <t>F01-02</t>
        </is>
      </c>
      <c r="C7" s="4" t="inlineStr">
        <is>
          <t>多账户层级汇总</t>
        </is>
      </c>
      <c r="D7" s="5" t="inlineStr">
        <is>
          <t>基金/策略/组合/公司四级持仓合并与分拆，支持跨基金同标的穿透聚合</t>
        </is>
      </c>
      <c r="E7" s="5" t="inlineStr">
        <is>
          <t>层级汇总数据与单账户加总误差为零</t>
        </is>
      </c>
      <c r="F7" s="5" t="inlineStr">
        <is>
          <t>AMI/AMDB账户主数据</t>
        </is>
      </c>
      <c r="G7" s="42" t="inlineStr">
        <is>
          <t>中</t>
        </is>
      </c>
      <c r="H7" s="8" t="n">
        <v>20</v>
      </c>
      <c r="I7" s="6" t="inlineStr">
        <is>
          <t>P1</t>
        </is>
      </c>
      <c r="J7" s="5" t="inlineStr"/>
    </row>
    <row r="8" ht="48" customHeight="1">
      <c r="A8" s="5" t="inlineStr">
        <is>
          <t>A. 实时持仓管理</t>
        </is>
      </c>
      <c r="B8" s="3" t="inlineStr">
        <is>
          <t>F01-03</t>
        </is>
      </c>
      <c r="C8" s="4" t="inlineStr">
        <is>
          <t>账薄T0/T1切换</t>
        </is>
      </c>
      <c r="D8" s="5" t="inlineStr">
        <is>
          <t>交易日账薄（含未交割）与结算账薄（T+1已交割）自动切换，切换耗时&lt;1min</t>
        </is>
      </c>
      <c r="E8" s="5" t="inlineStr">
        <is>
          <t>T0/T1持仓差=未交割敞口，自动核验通过率&gt;99%</t>
        </is>
      </c>
      <c r="F8" s="5" t="inlineStr">
        <is>
          <t>中登/中债登/上清结算接口</t>
        </is>
      </c>
      <c r="G8" s="42" t="inlineStr">
        <is>
          <t>中</t>
        </is>
      </c>
      <c r="H8" s="8" t="n">
        <v>20</v>
      </c>
      <c r="I8" s="6" t="inlineStr">
        <is>
          <t>P1</t>
        </is>
      </c>
      <c r="J8" s="5" t="inlineStr"/>
    </row>
    <row r="9" ht="48" customHeight="1">
      <c r="A9" s="5" t="inlineStr">
        <is>
          <t>A. 实时持仓管理</t>
        </is>
      </c>
      <c r="B9" s="3" t="inlineStr">
        <is>
          <t>F01-04</t>
        </is>
      </c>
      <c r="C9" s="4" t="inlineStr">
        <is>
          <t>可用券与冻结管理</t>
        </is>
      </c>
      <c r="D9" s="5" t="inlineStr">
        <is>
          <t>质押券/司法冻结券/回购占用券从可用头寸自动剔除，前台实时可用量查询</t>
        </is>
      </c>
      <c r="E9" s="5" t="inlineStr">
        <is>
          <t>可用量计算误差为零，冻结事件&lt;30s生效</t>
        </is>
      </c>
      <c r="F9" s="5" t="inlineStr">
        <is>
          <t>回购管理系统/风控系统</t>
        </is>
      </c>
      <c r="G9" s="42" t="inlineStr">
        <is>
          <t>中</t>
        </is>
      </c>
      <c r="H9" s="8" t="n">
        <v>15</v>
      </c>
      <c r="I9" s="6" t="inlineStr">
        <is>
          <t>P1</t>
        </is>
      </c>
      <c r="J9" s="5" t="inlineStr"/>
    </row>
    <row r="10" ht="48" customHeight="1">
      <c r="A10" s="11" t="inlineStr">
        <is>
          <t>A. 实时持仓管理</t>
        </is>
      </c>
      <c r="B10" s="10" t="inlineStr">
        <is>
          <t>F01-27</t>
        </is>
      </c>
      <c r="C10" s="27" t="inlineStr">
        <is>
          <t>资产打标与组合树管理</t>
        </is>
      </c>
      <c r="D10" s="11" t="inlineStr">
        <is>
          <t>多维度资产标签体系（评级/行业/策略/流动性层级/会计分类）灵活配置，支持自定义组合树构建多分析视角；标签驱动持仓穿透聚合和报表分组</t>
        </is>
      </c>
      <c r="E10" s="11" t="inlineStr">
        <is>
          <t>标签体系支持≥10维度，组合树层级≥4级，标签变更&lt;1min生效影响所有聚合视图</t>
        </is>
      </c>
      <c r="F10" s="11" t="inlineStr">
        <is>
          <t>资产主数据/IBOR持仓引擎/报表系统</t>
        </is>
      </c>
      <c r="G10" s="42" t="inlineStr">
        <is>
          <t>中</t>
        </is>
      </c>
      <c r="H10" s="13" t="n">
        <v>20</v>
      </c>
      <c r="I10" s="12" t="inlineStr">
        <is>
          <t>P2</t>
        </is>
      </c>
      <c r="J10" s="11" t="inlineStr"/>
    </row>
    <row r="11" ht="18" customHeight="1">
      <c r="A11" s="40" t="inlineStr">
        <is>
          <t>B. 现金管理</t>
        </is>
      </c>
    </row>
    <row r="12" ht="48" customHeight="1">
      <c r="A12" s="5" t="inlineStr">
        <is>
          <t>B. 现金管理</t>
        </is>
      </c>
      <c r="B12" s="3" t="inlineStr">
        <is>
          <t>F01-05</t>
        </is>
      </c>
      <c r="C12" s="4" t="inlineStr">
        <is>
          <t>实时现金余额</t>
        </is>
      </c>
      <c r="D12" s="5" t="inlineStr">
        <is>
          <t>多账户已结算/未结算现金实时汇总，T0资金头寸含日间资金划拨记录</t>
        </is>
      </c>
      <c r="E12" s="5" t="inlineStr">
        <is>
          <t>现金余额与银行回单误差为零，日中更新频率≥每分钟</t>
        </is>
      </c>
      <c r="F12" s="5" t="inlineStr">
        <is>
          <t>资金系统/清算结算接口</t>
        </is>
      </c>
      <c r="G12" s="41" t="inlineStr">
        <is>
          <t>高</t>
        </is>
      </c>
      <c r="H12" s="8" t="n">
        <v>25</v>
      </c>
      <c r="I12" s="6" t="inlineStr">
        <is>
          <t>P1</t>
        </is>
      </c>
      <c r="J12" s="5" t="inlineStr"/>
    </row>
    <row r="13" ht="48" customHeight="1">
      <c r="A13" s="5" t="inlineStr">
        <is>
          <t>B. 现金管理</t>
        </is>
      </c>
      <c r="B13" s="3" t="inlineStr">
        <is>
          <t>F01-06</t>
        </is>
      </c>
      <c r="C13" s="4" t="inlineStr">
        <is>
          <t>现金流预测</t>
        </is>
      </c>
      <c r="D13" s="5" t="inlineStr">
        <is>
          <t>回购到期/票息支付/衍生品结算现金流7-30日滚动预测，流动性缺口预警</t>
        </is>
      </c>
      <c r="E13" s="5" t="inlineStr">
        <is>
          <t>7日现金流预测准确率&gt;95%，流动性预警提前24h触发</t>
        </is>
      </c>
      <c r="F13" s="5" t="inlineStr">
        <is>
          <t>回购管理/利率衍生品/IBOR持仓</t>
        </is>
      </c>
      <c r="G13" s="41" t="inlineStr">
        <is>
          <t>高</t>
        </is>
      </c>
      <c r="H13" s="8" t="n">
        <v>30</v>
      </c>
      <c r="I13" s="6" t="inlineStr">
        <is>
          <t>P1</t>
        </is>
      </c>
      <c r="J13" s="5" t="inlineStr"/>
    </row>
    <row r="14" ht="48" customHeight="1">
      <c r="A14" s="11" t="inlineStr">
        <is>
          <t>B. 现金管理</t>
        </is>
      </c>
      <c r="B14" s="10" t="inlineStr">
        <is>
          <t>F01-07</t>
        </is>
      </c>
      <c r="C14" s="27" t="inlineStr">
        <is>
          <t>多币种资金管理</t>
        </is>
      </c>
      <c r="D14" s="11" t="inlineStr">
        <is>
          <t>CNY/USD/HKD等多币种现金分账户轧差，FX即期换算折算人民币净敞口</t>
        </is>
      </c>
      <c r="E14" s="11" t="inlineStr">
        <is>
          <t>多币种折算汇率误差&lt;0.01%，轧差结果实时刷新</t>
        </is>
      </c>
      <c r="F14" s="11" t="inlineStr">
        <is>
          <t>外汇系统/AMD行情平台</t>
        </is>
      </c>
      <c r="G14" s="42" t="inlineStr">
        <is>
          <t>中</t>
        </is>
      </c>
      <c r="H14" s="13" t="n">
        <v>20</v>
      </c>
      <c r="I14" s="12" t="inlineStr">
        <is>
          <t>P2</t>
        </is>
      </c>
      <c r="J14" s="11" t="inlineStr"/>
    </row>
    <row r="15" ht="18" customHeight="1">
      <c r="A15" s="43" t="inlineStr">
        <is>
          <t>C. 估值与净值</t>
        </is>
      </c>
    </row>
    <row r="16" ht="48" customHeight="1">
      <c r="A16" s="5" t="inlineStr">
        <is>
          <t>C. 估值与净值</t>
        </is>
      </c>
      <c r="B16" s="3" t="inlineStr">
        <is>
          <t>F01-08</t>
        </is>
      </c>
      <c r="C16" s="4" t="inlineStr">
        <is>
          <t>实时市值计算</t>
        </is>
      </c>
      <c r="D16" s="5" t="inlineStr">
        <is>
          <t>接入AMD/Bloomberg/Wind估值价格，全持仓实时MtM与日内PnL计算，支持估值价格覆盖</t>
        </is>
      </c>
      <c r="E16" s="5" t="inlineStr">
        <is>
          <t>MtM更新延迟&lt;1s，估值覆盖审批留痕100%</t>
        </is>
      </c>
      <c r="F16" s="5" t="inlineStr">
        <is>
          <t>AMD行情平台/Bloomberg数据接口</t>
        </is>
      </c>
      <c r="G16" s="41" t="inlineStr">
        <is>
          <t>高</t>
        </is>
      </c>
      <c r="H16" s="8" t="n">
        <v>35</v>
      </c>
      <c r="I16" s="6" t="inlineStr">
        <is>
          <t>P1</t>
        </is>
      </c>
      <c r="J16" s="5" t="inlineStr"/>
    </row>
    <row r="17" ht="48" customHeight="1">
      <c r="A17" s="5" t="inlineStr">
        <is>
          <t>C. 估值与净值</t>
        </is>
      </c>
      <c r="B17" s="3" t="inlineStr">
        <is>
          <t>F01-09</t>
        </is>
      </c>
      <c r="C17" s="4" t="inlineStr">
        <is>
          <t>应计利息计算</t>
        </is>
      </c>
      <c r="D17" s="5" t="inlineStr">
        <is>
          <t>债券应计利息按实际/365、实际/360、30/360多计息基准精确计算，日终净值自动生成</t>
        </is>
      </c>
      <c r="E17" s="5" t="inlineStr">
        <is>
          <t>应计利息与Bloomberg基准误差&lt;0.01元/百元面值</t>
        </is>
      </c>
      <c r="F17" s="5" t="inlineStr">
        <is>
          <t>资产主数据（票面率/计息基准/付息频率）</t>
        </is>
      </c>
      <c r="G17" s="42" t="inlineStr">
        <is>
          <t>中</t>
        </is>
      </c>
      <c r="H17" s="8" t="n">
        <v>20</v>
      </c>
      <c r="I17" s="6" t="inlineStr">
        <is>
          <t>P1</t>
        </is>
      </c>
      <c r="J17" s="5" t="inlineStr"/>
    </row>
    <row r="18" ht="48" customHeight="1">
      <c r="A18" s="5" t="inlineStr">
        <is>
          <t>C. 估值与净值</t>
        </is>
      </c>
      <c r="B18" s="3" t="inlineStr">
        <is>
          <t>F01-10</t>
        </is>
      </c>
      <c r="C18" s="4" t="inlineStr">
        <is>
          <t>衍生品逐日盯市</t>
        </is>
      </c>
      <c r="D18" s="5" t="inlineStr">
        <is>
          <t>IRS/CDS/国债期货逐日MtM计算，保证金余额实时更新，追加保证金（Margin Call）自动触发</t>
        </is>
      </c>
      <c r="E18" s="5" t="inlineStr">
        <is>
          <t>衍生品MtM与对手方差异&lt;0.5bps，Margin Call触发延迟&lt;5min</t>
        </is>
      </c>
      <c r="F18" s="5" t="inlineStr">
        <is>
          <t>量化定价引擎/交易对手管理</t>
        </is>
      </c>
      <c r="G18" s="41" t="inlineStr">
        <is>
          <t>高</t>
        </is>
      </c>
      <c r="H18" s="8" t="n">
        <v>30</v>
      </c>
      <c r="I18" s="6" t="inlineStr">
        <is>
          <t>P1</t>
        </is>
      </c>
      <c r="J18" s="5" t="inlineStr"/>
    </row>
    <row r="19" ht="18" customHeight="1">
      <c r="A19" s="43" t="inlineStr">
        <is>
          <t>D. 事件处理</t>
        </is>
      </c>
    </row>
    <row r="20" ht="48" customHeight="1">
      <c r="A20" s="5" t="inlineStr">
        <is>
          <t>D. 事件处理</t>
        </is>
      </c>
      <c r="B20" s="3" t="inlineStr">
        <is>
          <t>F01-11</t>
        </is>
      </c>
      <c r="C20" s="4" t="inlineStr">
        <is>
          <t>付息与到期处理</t>
        </is>
      </c>
      <c r="D20" s="5" t="inlineStr">
        <is>
          <t>债券票息自动计算并入账，到期本金偿还自动处理，含权债（可赎回/可回售）行权事件提醒与执行</t>
        </is>
      </c>
      <c r="E20" s="5" t="inlineStr">
        <is>
          <t>付息/到期处理T+0完成，含权债提前5交易日发起行权提示</t>
        </is>
      </c>
      <c r="F20" s="5" t="inlineStr">
        <is>
          <t>资产主数据/托管行结算通知</t>
        </is>
      </c>
      <c r="G20" s="41" t="inlineStr">
        <is>
          <t>高</t>
        </is>
      </c>
      <c r="H20" s="8" t="n">
        <v>30</v>
      </c>
      <c r="I20" s="6" t="inlineStr">
        <is>
          <t>P1</t>
        </is>
      </c>
      <c r="J20" s="5" t="inlineStr"/>
    </row>
    <row r="21" ht="48" customHeight="1">
      <c r="A21" s="5" t="inlineStr">
        <is>
          <t>D. 事件处理</t>
        </is>
      </c>
      <c r="B21" s="3" t="inlineStr">
        <is>
          <t>F01-12</t>
        </is>
      </c>
      <c r="C21" s="4" t="inlineStr">
        <is>
          <t>回购滚动管理</t>
        </is>
      </c>
      <c r="D21" s="5" t="inlineStr">
        <is>
          <t>质押式/买断式回购到期自动识别，支持一键续作指令生成，回购占用券随生命周期自动更新</t>
        </is>
      </c>
      <c r="E21" s="5" t="inlineStr">
        <is>
          <t>到期回购提前1日预警，续作指令生成成功率&gt;99%</t>
        </is>
      </c>
      <c r="F21" s="5" t="inlineStr">
        <is>
          <t>回购管理系统/IBOR头寸</t>
        </is>
      </c>
      <c r="G21" s="41" t="inlineStr">
        <is>
          <t>高</t>
        </is>
      </c>
      <c r="H21" s="8" t="n">
        <v>25</v>
      </c>
      <c r="I21" s="6" t="inlineStr">
        <is>
          <t>P1</t>
        </is>
      </c>
      <c r="J21" s="5" t="inlineStr"/>
    </row>
    <row r="22" ht="48" customHeight="1">
      <c r="A22" s="11" t="inlineStr">
        <is>
          <t>D. 事件处理</t>
        </is>
      </c>
      <c r="B22" s="10" t="inlineStr">
        <is>
          <t>F01-13</t>
        </is>
      </c>
      <c r="C22" s="27" t="inlineStr">
        <is>
          <t>公司行为通知</t>
        </is>
      </c>
      <c r="D22" s="11" t="inlineStr">
        <is>
          <t>债券评级变动/提前偿还/强制赎回等公司行为实时推送，影响持仓自动标注，处理决策记录留痕</t>
        </is>
      </c>
      <c r="E22" s="11" t="inlineStr">
        <is>
          <t>公司行为推送延迟&lt;30min，影响持仓标注覆盖率100%</t>
        </is>
      </c>
      <c r="F22" s="11" t="inlineStr">
        <is>
          <t>AMD行情平台/资产主数据</t>
        </is>
      </c>
      <c r="G22" s="42" t="inlineStr">
        <is>
          <t>中</t>
        </is>
      </c>
      <c r="H22" s="13" t="n">
        <v>20</v>
      </c>
      <c r="I22" s="12" t="inlineStr">
        <is>
          <t>P2</t>
        </is>
      </c>
      <c r="J22" s="11" t="inlineStr"/>
    </row>
    <row r="23" ht="18" customHeight="1">
      <c r="A23" s="29" t="inlineStr">
        <is>
          <t>E. 对账与数据质量</t>
        </is>
      </c>
    </row>
    <row r="24" ht="48" customHeight="1">
      <c r="A24" s="5" t="inlineStr">
        <is>
          <t>E. 对账与数据质量</t>
        </is>
      </c>
      <c r="B24" s="3" t="inlineStr">
        <is>
          <t>F01-14</t>
        </is>
      </c>
      <c r="C24" s="4" t="inlineStr">
        <is>
          <t>托管行持仓对账</t>
        </is>
      </c>
      <c r="D24" s="5" t="inlineStr">
        <is>
          <t>与中登（交易所债券）、中债登（银行间债券）日终持仓对账，差异自动分类（未交割/错误/缺漏）并推送告警</t>
        </is>
      </c>
      <c r="E24" s="5" t="inlineStr">
        <is>
          <t>日终对账完成时间&lt;8:00AM，差异识别率100%，自动匹配率&gt;95%</t>
        </is>
      </c>
      <c r="F24" s="5" t="inlineStr">
        <is>
          <t>中登/中债登结算接口/SFTP</t>
        </is>
      </c>
      <c r="G24" s="41" t="inlineStr">
        <is>
          <t>高</t>
        </is>
      </c>
      <c r="H24" s="8" t="n">
        <v>30</v>
      </c>
      <c r="I24" s="6" t="inlineStr">
        <is>
          <t>P1</t>
        </is>
      </c>
      <c r="J24" s="5" t="inlineStr"/>
    </row>
    <row r="25" ht="48" customHeight="1">
      <c r="A25" s="5" t="inlineStr">
        <is>
          <t>E. 对账与数据质量</t>
        </is>
      </c>
      <c r="B25" s="3" t="inlineStr">
        <is>
          <t>F01-15</t>
        </is>
      </c>
      <c r="C25" s="4" t="inlineStr">
        <is>
          <t>IBOR-ABOR差异对比</t>
        </is>
      </c>
      <c r="D25" s="5" t="inlineStr">
        <is>
          <t>投资账薄（实时）与会计账薄（已结算）差异对比，差异原因自动分类（未结算/估值差/计提差），供中台复核</t>
        </is>
      </c>
      <c r="E25" s="5" t="inlineStr">
        <is>
          <t>IBOR-ABOR差异原因分类准确率&gt;98%，日终净值差=0（已结算口径）</t>
        </is>
      </c>
      <c r="F25" s="5" t="inlineStr">
        <is>
          <t>会计核算系统(ABOR)/IBOR持仓</t>
        </is>
      </c>
      <c r="G25" s="42" t="inlineStr">
        <is>
          <t>中</t>
        </is>
      </c>
      <c r="H25" s="8" t="n">
        <v>20</v>
      </c>
      <c r="I25" s="6" t="inlineStr">
        <is>
          <t>P1</t>
        </is>
      </c>
      <c r="J25" s="5" t="inlineStr"/>
    </row>
    <row r="26" ht="48" customHeight="1">
      <c r="A26" s="5" t="inlineStr">
        <is>
          <t>E. 对账与数据质量</t>
        </is>
      </c>
      <c r="B26" s="3" t="inlineStr">
        <is>
          <t>F01-16</t>
        </is>
      </c>
      <c r="C26" s="4" t="inlineStr">
        <is>
          <t>交割失败追踪</t>
        </is>
      </c>
      <c r="D26" s="5" t="inlineStr">
        <is>
          <t>未交割记录全生命周期管理，T+N逾期告警，补交割流程触发，交割失败率统计分析</t>
        </is>
      </c>
      <c r="E26" s="5" t="inlineStr">
        <is>
          <t>交割失败识别延迟&lt;1h，补交割触发成功率&gt;95%</t>
        </is>
      </c>
      <c r="F26" s="5" t="inlineStr">
        <is>
          <t>清算结算系统/中登中债登</t>
        </is>
      </c>
      <c r="G26" s="42" t="inlineStr">
        <is>
          <t>中</t>
        </is>
      </c>
      <c r="H26" s="8" t="n">
        <v>15</v>
      </c>
      <c r="I26" s="6" t="inlineStr">
        <is>
          <t>P1</t>
        </is>
      </c>
      <c r="J26" s="5" t="inlineStr"/>
    </row>
    <row r="27" ht="18" customHeight="1">
      <c r="A27" s="44" t="inlineStr">
        <is>
          <t>F. 合规与监管</t>
        </is>
      </c>
    </row>
    <row r="28" ht="48" customHeight="1">
      <c r="A28" s="5" t="inlineStr">
        <is>
          <t>F. 合规与监管</t>
        </is>
      </c>
      <c r="B28" s="3" t="inlineStr">
        <is>
          <t>F01-17</t>
        </is>
      </c>
      <c r="C28" s="4" t="inlineStr">
        <is>
          <t>实时合规检查</t>
        </is>
      </c>
      <c r="D28" s="5" t="inlineStr">
        <is>
          <t>投资授权范围/单券集中度/久期限额/评级限额实时监控，违规自动告警并阻断交易指令</t>
        </is>
      </c>
      <c r="E28" s="5" t="inlineStr">
        <is>
          <t>合规检查响应&lt;200ms，零漏报，误报率&lt;0.1%</t>
        </is>
      </c>
      <c r="F28" s="5" t="inlineStr">
        <is>
          <t>事前风控/合规系统/投资授权书管理</t>
        </is>
      </c>
      <c r="G28" s="41" t="inlineStr">
        <is>
          <t>高</t>
        </is>
      </c>
      <c r="H28" s="8" t="n">
        <v>25</v>
      </c>
      <c r="I28" s="6" t="inlineStr">
        <is>
          <t>P1</t>
        </is>
      </c>
      <c r="J28" s="5" t="inlineStr"/>
    </row>
    <row r="29" ht="48" customHeight="1">
      <c r="A29" s="5" t="inlineStr">
        <is>
          <t>F. 合规与监管</t>
        </is>
      </c>
      <c r="B29" s="3" t="inlineStr">
        <is>
          <t>F01-18</t>
        </is>
      </c>
      <c r="C29" s="4" t="inlineStr">
        <is>
          <t>监管报送数据支持</t>
        </is>
      </c>
      <c r="D29" s="5" t="inlineStr">
        <is>
          <t>按人民银行/证监会/银保监会格式提取持仓/交易/资金数据，支持报表模板配置与定时推送</t>
        </is>
      </c>
      <c r="E29" s="5" t="inlineStr">
        <is>
          <t>报送数据与IBOR源数据一致性100%，定时推送准时率&gt;99.9%</t>
        </is>
      </c>
      <c r="F29" s="5" t="inlineStr">
        <is>
          <t>IBOR全域数据/报表引擎</t>
        </is>
      </c>
      <c r="G29" s="42" t="inlineStr">
        <is>
          <t>中</t>
        </is>
      </c>
      <c r="H29" s="8" t="n">
        <v>20</v>
      </c>
      <c r="I29" s="6" t="inlineStr">
        <is>
          <t>P1</t>
        </is>
      </c>
      <c r="J29" s="5" t="inlineStr"/>
    </row>
    <row r="30" ht="18" customHeight="1">
      <c r="A30" s="22" t="inlineStr">
        <is>
          <t>G. 数据接入与集成</t>
        </is>
      </c>
    </row>
    <row r="31" ht="48" customHeight="1">
      <c r="A31" s="5" t="inlineStr">
        <is>
          <t>G. 数据接入与集成</t>
        </is>
      </c>
      <c r="B31" s="3" t="inlineStr">
        <is>
          <t>F01-19</t>
        </is>
      </c>
      <c r="C31" s="4" t="inlineStr">
        <is>
          <t>行情数据接入</t>
        </is>
      </c>
      <c r="D31" s="5" t="inlineStr">
        <is>
          <t>接入AMD/Bloomberg/Wind实时行情（中债估值/利率曲线/信用利差/波动率曲面），标准化清洗后推送至IBOR定价层</t>
        </is>
      </c>
      <c r="E31" s="5" t="inlineStr">
        <is>
          <t>行情延迟&lt;1s，数据完整性&gt;99.9%，异常行情自动过滤告警</t>
        </is>
      </c>
      <c r="F31" s="5" t="inlineStr">
        <is>
          <t>AMD行情平台/Bloomberg API/Wind数据接口</t>
        </is>
      </c>
      <c r="G31" s="41" t="inlineStr">
        <is>
          <t>高</t>
        </is>
      </c>
      <c r="H31" s="8" t="n">
        <v>25</v>
      </c>
      <c r="I31" s="6" t="inlineStr">
        <is>
          <t>P1</t>
        </is>
      </c>
      <c r="J31" s="5" t="inlineStr"/>
    </row>
    <row r="32" ht="48" customHeight="1">
      <c r="A32" s="5" t="inlineStr">
        <is>
          <t>G. 数据接入与集成</t>
        </is>
      </c>
      <c r="B32" s="3" t="inlineStr">
        <is>
          <t>F01-20</t>
        </is>
      </c>
      <c r="C32" s="4" t="inlineStr">
        <is>
          <t>交易数据接入</t>
        </is>
      </c>
      <c r="D32" s="5" t="inlineStr">
        <is>
          <t>从OMS/交易终端实时获取成交回报（债券/回购/衍生品），含完整交易状态机（报盘/成交/撤单/部分成交）追踪</t>
        </is>
      </c>
      <c r="E32" s="5" t="inlineStr">
        <is>
          <t>成交回报接收延迟&lt;200ms，数据完整性100%，状态机覆盖全交易生命周期</t>
        </is>
      </c>
      <c r="F32" s="5" t="inlineStr">
        <is>
          <t>ATP报盘引擎/CFETS银行间接口/交易所接口</t>
        </is>
      </c>
      <c r="G32" s="42" t="inlineStr">
        <is>
          <t>中</t>
        </is>
      </c>
      <c r="H32" s="8" t="n">
        <v>20</v>
      </c>
      <c r="I32" s="6" t="inlineStr">
        <is>
          <t>P1</t>
        </is>
      </c>
      <c r="J32" s="5" t="inlineStr"/>
    </row>
    <row r="33" ht="48" customHeight="1">
      <c r="A33" s="5" t="inlineStr">
        <is>
          <t>G. 数据接入与集成</t>
        </is>
      </c>
      <c r="B33" s="3" t="inlineStr">
        <is>
          <t>F01-21</t>
        </is>
      </c>
      <c r="C33" s="4" t="inlineStr">
        <is>
          <t>持仓数据获取</t>
        </is>
      </c>
      <c r="D33" s="5" t="inlineStr">
        <is>
          <t>期初从托管行/清算系统获取存量持仓，日间成交驱动增量更新，支持多来源持仓比对与主数据确认</t>
        </is>
      </c>
      <c r="E33" s="5" t="inlineStr">
        <is>
          <t>期初持仓加载完成&lt;7:00AM，日间增量延迟&lt;500ms，多源持仓一致性核验通过率&gt;99%</t>
        </is>
      </c>
      <c r="F33" s="5" t="inlineStr">
        <is>
          <t>中登/中债登/托管行SFTP接口/清算结算系统</t>
        </is>
      </c>
      <c r="G33" s="42" t="inlineStr">
        <is>
          <t>中</t>
        </is>
      </c>
      <c r="H33" s="8" t="n">
        <v>20</v>
      </c>
      <c r="I33" s="6" t="inlineStr">
        <is>
          <t>P1</t>
        </is>
      </c>
      <c r="J33" s="5" t="inlineStr"/>
    </row>
    <row r="34" ht="18" customHeight="1">
      <c r="A34" s="40" t="inlineStr">
        <is>
          <t>H. What-if 投资试算</t>
        </is>
      </c>
    </row>
    <row r="35" ht="48" customHeight="1">
      <c r="A35" s="5" t="inlineStr">
        <is>
          <t>H. What-if 投资试算</t>
        </is>
      </c>
      <c r="B35" s="3" t="inlineStr">
        <is>
          <t>F01-22</t>
        </is>
      </c>
      <c r="C35" s="4" t="inlineStr">
        <is>
          <t>多时态头寸视图</t>
        </is>
      </c>
      <c r="D35" s="5" t="inlineStr">
        <is>
          <t>按任意历史as-of/as-on日期提取头寸快照（历史切片），同时支持基于未来现金流和已知事件的预测头寸视图，满足绩效复盘与流动性预判双场景</t>
        </is>
      </c>
      <c r="E35" s="5" t="inlineStr">
        <is>
          <t>历史快照查询任意日期延迟&lt;3s，预测视图覆盖30日前瞻</t>
        </is>
      </c>
      <c r="F35" s="5" t="inlineStr">
        <is>
          <t>IBOR事件存储引擎/现金流预测模块</t>
        </is>
      </c>
      <c r="G35" s="41" t="inlineStr">
        <is>
          <t>高</t>
        </is>
      </c>
      <c r="H35" s="8" t="n">
        <v>30</v>
      </c>
      <c r="I35" s="6" t="inlineStr">
        <is>
          <t>P1</t>
        </is>
      </c>
      <c r="J35" s="5" t="inlineStr"/>
    </row>
    <row r="36" ht="48" customHeight="1">
      <c r="A36" s="5" t="inlineStr">
        <is>
          <t>H. What-if 投资试算</t>
        </is>
      </c>
      <c r="B36" s="3" t="inlineStr">
        <is>
          <t>F01-23</t>
        </is>
      </c>
      <c r="C36" s="4" t="inlineStr">
        <is>
          <t>会计分类估值与稽核</t>
        </is>
      </c>
      <c r="D36" s="5" t="inlineStr">
        <is>
          <t>按FVTPL（市值法）/FVOCI（可供出售）/AMC（摊余成本法）三类会计分类配置估值方法，颗粒度支持个券维度；内嵌估值稽核规则引擎与ABOR系统定期核对，差异自动预警</t>
        </is>
      </c>
      <c r="E36" s="5" t="inlineStr">
        <is>
          <t>估值方法配置覆盖全品种，稽核规则命中率&gt;99%，核对差异&lt;0.01%</t>
        </is>
      </c>
      <c r="F36" s="5" t="inlineStr">
        <is>
          <t>资产主数据（会计分类标签）/ABOR会计系统/AMD估值数据</t>
        </is>
      </c>
      <c r="G36" s="41" t="inlineStr">
        <is>
          <t>高</t>
        </is>
      </c>
      <c r="H36" s="8" t="n">
        <v>30</v>
      </c>
      <c r="I36" s="6" t="inlineStr">
        <is>
          <t>P1</t>
        </is>
      </c>
      <c r="J36" s="5" t="inlineStr"/>
    </row>
    <row r="37" ht="48" customHeight="1">
      <c r="A37" s="5" t="inlineStr">
        <is>
          <t>H. What-if 投资试算</t>
        </is>
      </c>
      <c r="B37" s="3" t="inlineStr">
        <is>
          <t>F01-24</t>
        </is>
      </c>
      <c r="C37" s="4" t="inlineStr">
        <is>
          <t>手工补录与审批工作流</t>
        </is>
      </c>
      <c r="D37" s="5" t="inlineStr">
        <is>
          <t>对上游系统缺失或错误数据支持手工增删改操作，修改后自动触发双级审批工作流，全操作记录审计日志，支持待办集中处理与历史审批检索</t>
        </is>
      </c>
      <c r="E37" s="5" t="inlineStr">
        <is>
          <t>审批流配置覆盖100%手工操作类型，操作日志不可篡改，审批完成后数据生效&lt;1min</t>
        </is>
      </c>
      <c r="F37" s="5" t="inlineStr">
        <is>
          <t>权限管理系统/IBOR数据核心层</t>
        </is>
      </c>
      <c r="G37" s="42" t="inlineStr">
        <is>
          <t>中</t>
        </is>
      </c>
      <c r="H37" s="8" t="n">
        <v>20</v>
      </c>
      <c r="I37" s="6" t="inlineStr">
        <is>
          <t>P1</t>
        </is>
      </c>
      <c r="J37" s="5" t="inlineStr"/>
    </row>
    <row r="38" ht="48" customHeight="1">
      <c r="A38" s="5" t="inlineStr">
        <is>
          <t>H. What-if 投资试算</t>
        </is>
      </c>
      <c r="B38" s="3" t="inlineStr">
        <is>
          <t>F01-25</t>
        </is>
      </c>
      <c r="C38" s="4" t="inlineStr">
        <is>
          <t>当日模拟试算</t>
        </is>
      </c>
      <c r="D38" s="5" t="inlineStr">
        <is>
          <t>投资经理下达模拟交易指令（不实际成交），IBOR实时计算试算前后组合持仓/MtM/DV01/风险敞口变化，支持多方案并行对比及最优路径推荐</t>
        </is>
      </c>
      <c r="E38" s="5" t="inlineStr">
        <is>
          <t>模拟指令生效&lt;2s，试算结果与真实成交后结果误差&lt;0.1%，支持≥10方案并行</t>
        </is>
      </c>
      <c r="F38" s="5" t="inlineStr">
        <is>
          <t>IBOR实时持仓/估值引擎/事前风控系统</t>
        </is>
      </c>
      <c r="G38" s="41" t="inlineStr">
        <is>
          <t>高</t>
        </is>
      </c>
      <c r="H38" s="8" t="n">
        <v>35</v>
      </c>
      <c r="I38" s="6" t="inlineStr">
        <is>
          <t>P1</t>
        </is>
      </c>
      <c r="J38" s="5" t="inlineStr"/>
    </row>
    <row r="39" ht="48" customHeight="1">
      <c r="A39" s="5" t="inlineStr">
        <is>
          <t>H. What-if 投资试算</t>
        </is>
      </c>
      <c r="B39" s="3" t="inlineStr">
        <is>
          <t>F01-26</t>
        </is>
      </c>
      <c r="C39" s="4" t="inlineStr">
        <is>
          <t>未来情景试算</t>
        </is>
      </c>
      <c r="D39" s="5" t="inlineStr">
        <is>
          <t>基于假设的未来交易路径和市场情景（利率平移/信用冲击/流动性压力），预测未来N日组合持仓状态、现金流和风险敞口，输出情景P&amp;L分布</t>
        </is>
      </c>
      <c r="E39" s="5" t="inlineStr">
        <is>
          <t>支持≥3类情景参数配置，N日预测（N≤30）计算完成&lt;30s</t>
        </is>
      </c>
      <c r="F39" s="5" t="inlineStr">
        <is>
          <t>IBOR现金流预测/量化定价引擎/FICC风险计量平台</t>
        </is>
      </c>
      <c r="G39" s="41" t="inlineStr">
        <is>
          <t>高</t>
        </is>
      </c>
      <c r="H39" s="8" t="n">
        <v>30</v>
      </c>
      <c r="I39" s="6" t="inlineStr">
        <is>
          <t>P1</t>
        </is>
      </c>
      <c r="J39" s="5" t="inlineStr"/>
    </row>
    <row r="40">
      <c r="A40" s="40" t="inlineStr">
        <is>
          <t>合计 27项功能  |  P1: 24项  |  P2: 3项</t>
        </is>
      </c>
      <c r="H40" s="20">
        <f>SUM(H5:H39)</f>
        <v/>
      </c>
      <c r="I40" s="34" t="inlineStr"/>
      <c r="J40" s="34" t="inlineStr"/>
    </row>
  </sheetData>
  <mergeCells count="12">
    <mergeCell ref="A1:J1"/>
    <mergeCell ref="A5:J5"/>
    <mergeCell ref="A23:J23"/>
    <mergeCell ref="A40:G40"/>
    <mergeCell ref="A27:J27"/>
    <mergeCell ref="A3:J3"/>
    <mergeCell ref="A30:J30"/>
    <mergeCell ref="A34:J34"/>
    <mergeCell ref="A15:J15"/>
    <mergeCell ref="A2:J2"/>
    <mergeCell ref="A19:J19"/>
    <mergeCell ref="A11:J1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系统详情：现券交易系统  |  Bond Trading System</t>
        </is>
      </c>
    </row>
    <row r="2" ht="36" customHeight="1">
      <c r="A2" s="39" t="inlineStr">
        <is>
          <t>战略定位：银行间+交易所双市场统一订单模型，28项功能覆盖报价/订单/定价/风控/STP/做市/数据/分析全链路   |   来源：Slide 40   |   数据输入：CFETS/X-Bond行情与成交回报 / 上交所/深交所债券接口回报 / AMD/Bloomberg实时行情 / 中债估值曲线   |   量化底座：ATP报盘引擎 · IBOR持仓账薄 · 事前风控/合规系统 · 清算结算后台</t>
        </is>
      </c>
    </row>
    <row r="3" ht="28" customHeight="1">
      <c r="A3" s="40" t="inlineStr">
        <is>
          <t>模块：现券交易系统  (Bond Trading System)  |  优先级：P1  |  竞品：恒生/金证  |  华锐基础：ATP债券报盘引擎  |  工期：6月  团队：8人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A. 市场接入与报价</t>
        </is>
      </c>
    </row>
    <row r="6" ht="48" customHeight="1">
      <c r="A6" s="5" t="inlineStr">
        <is>
          <t>A. 市场接入与报价</t>
        </is>
      </c>
      <c r="B6" s="3" t="inlineStr">
        <is>
          <t>F02-01</t>
        </is>
      </c>
      <c r="C6" s="4" t="inlineStr">
        <is>
          <t>银行间双边报价</t>
        </is>
      </c>
      <c r="D6" s="5" t="inlineStr">
        <is>
          <t>CFETS/X-Bond两板块双边报价，支持询价(RFQ)和竞价模式，报价有效期自动管理，批量报价维护与撤单</t>
        </is>
      </c>
      <c r="E6" s="5" t="inlineStr">
        <is>
          <t>报价发出到CFETS确认&lt;200ms，批量报价支持≥100条/次</t>
        </is>
      </c>
      <c r="F6" s="5" t="inlineStr">
        <is>
          <t>CFETS API/X-Bond API</t>
        </is>
      </c>
      <c r="G6" s="41" t="inlineStr">
        <is>
          <t>高</t>
        </is>
      </c>
      <c r="H6" s="8" t="n">
        <v>30</v>
      </c>
      <c r="I6" s="6" t="inlineStr">
        <is>
          <t>P1</t>
        </is>
      </c>
      <c r="J6" s="5" t="inlineStr"/>
    </row>
    <row r="7" ht="48" customHeight="1">
      <c r="A7" s="5" t="inlineStr">
        <is>
          <t>A. 市场接入与报价</t>
        </is>
      </c>
      <c r="B7" s="3" t="inlineStr">
        <is>
          <t>F02-02</t>
        </is>
      </c>
      <c r="C7" s="4" t="inlineStr">
        <is>
          <t>交易所债券委托</t>
        </is>
      </c>
      <c r="D7" s="5" t="inlineStr">
        <is>
          <t>上交所/深交所债券买卖下单，支持限价/市价/条件单三类订单，撤单与改单，ETF债券联接与综合协议交易</t>
        </is>
      </c>
      <c r="E7" s="5" t="inlineStr">
        <is>
          <t>委托响应&lt;100ms，撤单成功率&gt;99.5%</t>
        </is>
      </c>
      <c r="F7" s="5" t="inlineStr">
        <is>
          <t>上交所/深交所债券接口</t>
        </is>
      </c>
      <c r="G7" s="42" t="inlineStr">
        <is>
          <t>中</t>
        </is>
      </c>
      <c r="H7" s="8" t="n">
        <v>20</v>
      </c>
      <c r="I7" s="6" t="inlineStr">
        <is>
          <t>P1</t>
        </is>
      </c>
      <c r="J7" s="5" t="inlineStr"/>
    </row>
    <row r="8" ht="48" customHeight="1">
      <c r="A8" s="5" t="inlineStr">
        <is>
          <t>A. 市场接入与报价</t>
        </is>
      </c>
      <c r="B8" s="3" t="inlineStr">
        <is>
          <t>F02-07</t>
        </is>
      </c>
      <c r="C8" s="4" t="inlineStr">
        <is>
          <t>RFQ询价管理</t>
        </is>
      </c>
      <c r="D8" s="5" t="inlineStr">
        <is>
          <t>支持发起/接收/应答全链路RFQ流程，询价对象多选，报价有效期倒计时，最优报价自动高亮，历史询价记录检索</t>
        </is>
      </c>
      <c r="E8" s="5" t="inlineStr">
        <is>
          <t>RFQ全流程(发起到成交)端到端&lt;30s，历史记录保存≥1年</t>
        </is>
      </c>
      <c r="F8" s="5" t="inlineStr">
        <is>
          <t>CFETS RFQ接口</t>
        </is>
      </c>
      <c r="G8" s="42" t="inlineStr">
        <is>
          <t>中</t>
        </is>
      </c>
      <c r="H8" s="8" t="n">
        <v>20</v>
      </c>
      <c r="I8" s="6" t="inlineStr">
        <is>
          <t>P1</t>
        </is>
      </c>
      <c r="J8" s="5" t="inlineStr"/>
    </row>
    <row r="9" ht="48" customHeight="1">
      <c r="A9" s="11" t="inlineStr">
        <is>
          <t>A. 市场接入与报价</t>
        </is>
      </c>
      <c r="B9" s="10" t="inlineStr">
        <is>
          <t>F02-08</t>
        </is>
      </c>
      <c r="C9" s="27" t="inlineStr">
        <is>
          <t>Bond Connect跨境接入</t>
        </is>
      </c>
      <c r="D9" s="11" t="inlineStr">
        <is>
          <t>对接香港债券通(北向通)，支持境外机构通过Bond Connect参与银行间债券交易，含SWIFT报文生成与境外结算指令</t>
        </is>
      </c>
      <c r="E9" s="11" t="inlineStr">
        <is>
          <t>Bond Connect成交回报处理&lt;500ms，SWIFT报文生成准确率100%</t>
        </is>
      </c>
      <c r="F9" s="11" t="inlineStr">
        <is>
          <t>Bond Connect CFETS接口/SWIFT网关</t>
        </is>
      </c>
      <c r="G9" s="41" t="inlineStr">
        <is>
          <t>高</t>
        </is>
      </c>
      <c r="H9" s="13" t="n">
        <v>40</v>
      </c>
      <c r="I9" s="12" t="inlineStr">
        <is>
          <t>P2</t>
        </is>
      </c>
      <c r="J9" s="11" t="inlineStr"/>
    </row>
    <row r="10" ht="18" customHeight="1">
      <c r="A10" s="40" t="inlineStr">
        <is>
          <t>B. 订单管理</t>
        </is>
      </c>
    </row>
    <row r="11" ht="48" customHeight="1">
      <c r="A11" s="5" t="inlineStr">
        <is>
          <t>B. 订单管理</t>
        </is>
      </c>
      <c r="B11" s="3" t="inlineStr">
        <is>
          <t>F02-09</t>
        </is>
      </c>
      <c r="C11" s="4" t="inlineStr">
        <is>
          <t>订单全生命周期管理</t>
        </is>
      </c>
      <c r="D11" s="5" t="inlineStr">
        <is>
          <t>订单录入/修改/撤销/挂单状态机，支持部分成交跟踪，订单有效期(GTC/GTD/IOC/FOK)配置，订单历史完整审计</t>
        </is>
      </c>
      <c r="E11" s="5" t="inlineStr">
        <is>
          <t>订单状态更新延迟&lt;100ms，状态机覆盖全生命周期，历史可回溯≥1年</t>
        </is>
      </c>
      <c r="F11" s="5" t="inlineStr">
        <is>
          <t>CFETS/交易所接口/事前风控</t>
        </is>
      </c>
      <c r="G11" s="41" t="inlineStr">
        <is>
          <t>高</t>
        </is>
      </c>
      <c r="H11" s="8" t="n">
        <v>25</v>
      </c>
      <c r="I11" s="6" t="inlineStr">
        <is>
          <t>P1</t>
        </is>
      </c>
      <c r="J11" s="5" t="inlineStr"/>
    </row>
    <row r="12" ht="48" customHeight="1">
      <c r="A12" s="5" t="inlineStr">
        <is>
          <t>B. 订单管理</t>
        </is>
      </c>
      <c r="B12" s="3" t="inlineStr">
        <is>
          <t>F02-10</t>
        </is>
      </c>
      <c r="C12" s="4" t="inlineStr">
        <is>
          <t>大宗/协议交易</t>
        </is>
      </c>
      <c r="D12" s="5" t="inlineStr">
        <is>
          <t>银行间大宗交易报价协商，双边确认，超大额交易分笔拆单执行，协议交易备案与记录</t>
        </is>
      </c>
      <c r="E12" s="5" t="inlineStr">
        <is>
          <t>大宗交易协商流程≤5步确认，拆单执行计划自动生成</t>
        </is>
      </c>
      <c r="F12" s="5" t="inlineStr">
        <is>
          <t>CFETS大宗交易模块</t>
        </is>
      </c>
      <c r="G12" s="42" t="inlineStr">
        <is>
          <t>中</t>
        </is>
      </c>
      <c r="H12" s="8" t="n">
        <v>20</v>
      </c>
      <c r="I12" s="6" t="inlineStr">
        <is>
          <t>P1</t>
        </is>
      </c>
      <c r="J12" s="5" t="inlineStr"/>
    </row>
    <row r="13" ht="48" customHeight="1">
      <c r="A13" s="5" t="inlineStr">
        <is>
          <t>B. 订单管理</t>
        </is>
      </c>
      <c r="B13" s="3" t="inlineStr">
        <is>
          <t>F02-11</t>
        </is>
      </c>
      <c r="C13" s="4" t="inlineStr">
        <is>
          <t>篮子交易与批量下单</t>
        </is>
      </c>
      <c r="D13" s="5" t="inlineStr">
        <is>
          <t>多债券组合同时建仓/调仓，篮子订单按权重/金额/数量三种模式分配，批量状态监控与部分失败重试</t>
        </is>
      </c>
      <c r="E13" s="5" t="inlineStr">
        <is>
          <t>篮子交易支持≥50只债券同批，批量下单耗时&lt;5s</t>
        </is>
      </c>
      <c r="F13" s="5" t="inlineStr">
        <is>
          <t>订单引擎/IBOR持仓</t>
        </is>
      </c>
      <c r="G13" s="42" t="inlineStr">
        <is>
          <t>中</t>
        </is>
      </c>
      <c r="H13" s="8" t="n">
        <v>20</v>
      </c>
      <c r="I13" s="6" t="inlineStr">
        <is>
          <t>P1</t>
        </is>
      </c>
      <c r="J13" s="5" t="inlineStr"/>
    </row>
    <row r="14" ht="48" customHeight="1">
      <c r="A14" s="11" t="inlineStr">
        <is>
          <t>B. 订单管理</t>
        </is>
      </c>
      <c r="B14" s="10" t="inlineStr">
        <is>
          <t>F02-12</t>
        </is>
      </c>
      <c r="C14" s="27" t="inlineStr">
        <is>
          <t>条件单与算法单接口</t>
        </is>
      </c>
      <c r="D14" s="11" t="inlineStr">
        <is>
          <t>价格触发条件单（达到目标YTM/价格自动下单），预留TWAP/VWAP算法交易接口，算法执行进度实时展示</t>
        </is>
      </c>
      <c r="E14" s="11" t="inlineStr">
        <is>
          <t>条件触发延迟&lt;1s，算法接口支持主流算法交易供应商标准协议</t>
        </is>
      </c>
      <c r="F14" s="11" t="inlineStr">
        <is>
          <t>AMD实时行情/量化定价引擎</t>
        </is>
      </c>
      <c r="G14" s="41" t="inlineStr">
        <is>
          <t>高</t>
        </is>
      </c>
      <c r="H14" s="13" t="n">
        <v>30</v>
      </c>
      <c r="I14" s="12" t="inlineStr">
        <is>
          <t>P2</t>
        </is>
      </c>
      <c r="J14" s="11" t="inlineStr"/>
    </row>
    <row r="15" ht="18" customHeight="1">
      <c r="A15" s="43" t="inlineStr">
        <is>
          <t>C. 定价与计算</t>
        </is>
      </c>
    </row>
    <row r="16" ht="48" customHeight="1">
      <c r="A16" s="5" t="inlineStr">
        <is>
          <t>C. 定价与计算</t>
        </is>
      </c>
      <c r="B16" s="3" t="inlineStr">
        <is>
          <t>F02-03</t>
        </is>
      </c>
      <c r="C16" s="4" t="inlineStr">
        <is>
          <t>收益率/价格计算</t>
        </is>
      </c>
      <c r="D16" s="5" t="inlineStr">
        <is>
          <t>全品种YTM/全价/净价双向转换，含权债修正久期，多计息基准(ACT/365/ACT/360/30/360)精确计算</t>
        </is>
      </c>
      <c r="E16" s="5" t="inlineStr">
        <is>
          <t>YTM计算与Bloomberg基准误差&lt;0.1bps，含权债定价覆盖主流含权结构</t>
        </is>
      </c>
      <c r="F16" s="5" t="inlineStr">
        <is>
          <t>量化定价引擎(Module 9)/资产主数据</t>
        </is>
      </c>
      <c r="G16" s="42" t="inlineStr">
        <is>
          <t>中</t>
        </is>
      </c>
      <c r="H16" s="8" t="n">
        <v>15</v>
      </c>
      <c r="I16" s="6" t="inlineStr">
        <is>
          <t>P1</t>
        </is>
      </c>
      <c r="J16" s="5" t="inlineStr"/>
    </row>
    <row r="17" ht="48" customHeight="1">
      <c r="A17" s="5" t="inlineStr">
        <is>
          <t>C. 定价与计算</t>
        </is>
      </c>
      <c r="B17" s="3" t="inlineStr">
        <is>
          <t>F02-13</t>
        </is>
      </c>
      <c r="C17" s="4" t="inlineStr">
        <is>
          <t>特殊品种定价</t>
        </is>
      </c>
      <c r="D17" s="5" t="inlineStr">
        <is>
          <t>ABS/ABN资产支持证券、永续债、可转债、可交换债、二级资本债定价，含信用利差/流动性溢价调整</t>
        </is>
      </c>
      <c r="E17" s="5" t="inlineStr">
        <is>
          <t>特殊品种覆盖率100%，定价结果与市场成交价偏差统计&lt;5bps</t>
        </is>
      </c>
      <c r="F17" s="5" t="inlineStr">
        <is>
          <t>量化定价引擎/信用利差曲线数据</t>
        </is>
      </c>
      <c r="G17" s="41" t="inlineStr">
        <is>
          <t>高</t>
        </is>
      </c>
      <c r="H17" s="8" t="n">
        <v>30</v>
      </c>
      <c r="I17" s="6" t="inlineStr">
        <is>
          <t>P1</t>
        </is>
      </c>
      <c r="J17" s="5" t="inlineStr"/>
    </row>
    <row r="18" ht="48" customHeight="1">
      <c r="A18" s="5" t="inlineStr">
        <is>
          <t>C. 定价与计算</t>
        </is>
      </c>
      <c r="B18" s="3" t="inlineStr">
        <is>
          <t>F02-14</t>
        </is>
      </c>
      <c r="C18" s="4" t="inlineStr">
        <is>
          <t>实时浮盈浮亏</t>
        </is>
      </c>
      <c r="D18" s="5" t="inlineStr">
        <is>
          <t>成交后即时PnL计算，含已实现/未实现分拆，按账户/策略/品种多维度汇总，日内PnL归因(价格/利息/汇率)</t>
        </is>
      </c>
      <c r="E18" s="5" t="inlineStr">
        <is>
          <t>PnL更新延迟&lt;1s，已实现/未实现分拆误差为零</t>
        </is>
      </c>
      <c r="F18" s="5" t="inlineStr">
        <is>
          <t>IBOR持仓/AMD实时行情</t>
        </is>
      </c>
      <c r="G18" s="41" t="inlineStr">
        <is>
          <t>高</t>
        </is>
      </c>
      <c r="H18" s="8" t="n">
        <v>25</v>
      </c>
      <c r="I18" s="6" t="inlineStr">
        <is>
          <t>P1</t>
        </is>
      </c>
      <c r="J18" s="5" t="inlineStr"/>
    </row>
    <row r="19" ht="48" customHeight="1">
      <c r="A19" s="5" t="inlineStr">
        <is>
          <t>C. 定价与计算</t>
        </is>
      </c>
      <c r="B19" s="3" t="inlineStr">
        <is>
          <t>F02-15</t>
        </is>
      </c>
      <c r="C19" s="4" t="inlineStr">
        <is>
          <t>利率敏感性指标</t>
        </is>
      </c>
      <c r="D19" s="5" t="inlineStr">
        <is>
          <t>DV01/修正久期/凸性实时计算，组合层面利率风险汇总，BP-level利率冲击情景分析</t>
        </is>
      </c>
      <c r="E19" s="5" t="inlineStr">
        <is>
          <t>敏感性指标与Bloomberg基准误差&lt;1%，组合汇总更新&lt;2s</t>
        </is>
      </c>
      <c r="F19" s="5" t="inlineStr">
        <is>
          <t>量化定价引擎/IBOR持仓</t>
        </is>
      </c>
      <c r="G19" s="42" t="inlineStr">
        <is>
          <t>中</t>
        </is>
      </c>
      <c r="H19" s="8" t="n">
        <v>20</v>
      </c>
      <c r="I19" s="6" t="inlineStr">
        <is>
          <t>P1</t>
        </is>
      </c>
      <c r="J19" s="5" t="inlineStr"/>
    </row>
    <row r="20" ht="18" customHeight="1">
      <c r="A20" s="43" t="inlineStr">
        <is>
          <t>D. 交易前风控</t>
        </is>
      </c>
    </row>
    <row r="21" ht="48" customHeight="1">
      <c r="A21" s="5" t="inlineStr">
        <is>
          <t>D. 交易前风控</t>
        </is>
      </c>
      <c r="B21" s="3" t="inlineStr">
        <is>
          <t>F02-04</t>
        </is>
      </c>
      <c r="C21" s="4" t="inlineStr">
        <is>
          <t>交易前风险校验</t>
        </is>
      </c>
      <c r="D21" s="5" t="inlineStr">
        <is>
          <t>调用事前风控接口，单笔限额/账户集中度/利率风险DV01/信用评级限额实时拦截，风控拦截阻断下单</t>
        </is>
      </c>
      <c r="E21" s="5" t="inlineStr">
        <is>
          <t>风控校验响应&lt;10ms，零漏拦，误报率&lt;0.05%</t>
        </is>
      </c>
      <c r="F21" s="5" t="inlineStr">
        <is>
          <t>事前风控/合规系统(Module 6)</t>
        </is>
      </c>
      <c r="G21" s="42" t="inlineStr">
        <is>
          <t>中</t>
        </is>
      </c>
      <c r="H21" s="8" t="n">
        <v>15</v>
      </c>
      <c r="I21" s="6" t="inlineStr">
        <is>
          <t>P1</t>
        </is>
      </c>
      <c r="J21" s="5" t="inlineStr"/>
    </row>
    <row r="22" ht="48" customHeight="1">
      <c r="A22" s="5" t="inlineStr">
        <is>
          <t>D. 交易前风控</t>
        </is>
      </c>
      <c r="B22" s="3" t="inlineStr">
        <is>
          <t>F02-16</t>
        </is>
      </c>
      <c r="C22" s="4" t="inlineStr">
        <is>
          <t>合规规则嵌入</t>
        </is>
      </c>
      <c r="D22" s="5" t="inlineStr">
        <is>
          <t>投资授权范围/禁投清单/单券集中度上限/评级下限嵌入下单流程，不符合规则自动弹窗说明并阻断，支持规则热更新</t>
        </is>
      </c>
      <c r="E22" s="5" t="inlineStr">
        <is>
          <t>合规规则覆盖投资授权书100%条款，规则热更新生效&lt;1min</t>
        </is>
      </c>
      <c r="F22" s="5" t="inlineStr">
        <is>
          <t>事前风控/合规系统(Module 6)/投资授权书管理</t>
        </is>
      </c>
      <c r="G22" s="42" t="inlineStr">
        <is>
          <t>中</t>
        </is>
      </c>
      <c r="H22" s="8" t="n">
        <v>20</v>
      </c>
      <c r="I22" s="6" t="inlineStr">
        <is>
          <t>P1</t>
        </is>
      </c>
      <c r="J22" s="5" t="inlineStr"/>
    </row>
    <row r="23" ht="48" customHeight="1">
      <c r="A23" s="11" t="inlineStr">
        <is>
          <t>D. 交易前风控</t>
        </is>
      </c>
      <c r="B23" s="10" t="inlineStr">
        <is>
          <t>F02-17</t>
        </is>
      </c>
      <c r="C23" s="27" t="inlineStr">
        <is>
          <t>流动性与市场影响评估</t>
        </is>
      </c>
      <c r="D23" s="11" t="inlineStr">
        <is>
          <t>大额交易前评估目标债券流动性（换手率/买卖价差/存量规模），估算市场冲击成本，超阈值触发投资经理二次确认</t>
        </is>
      </c>
      <c r="E23" s="11" t="inlineStr">
        <is>
          <t>流动性评估结果&lt;500ms，大额阈值可配置，确认记录100%留痕</t>
        </is>
      </c>
      <c r="F23" s="11" t="inlineStr">
        <is>
          <t>AMD行情平台/债券基础数据</t>
        </is>
      </c>
      <c r="G23" s="42" t="inlineStr">
        <is>
          <t>中</t>
        </is>
      </c>
      <c r="H23" s="13" t="n">
        <v>20</v>
      </c>
      <c r="I23" s="12" t="inlineStr">
        <is>
          <t>P2</t>
        </is>
      </c>
      <c r="J23" s="11" t="inlineStr"/>
    </row>
    <row r="24" ht="18" customHeight="1">
      <c r="A24" s="29" t="inlineStr">
        <is>
          <t>E. 成交处理与STP</t>
        </is>
      </c>
    </row>
    <row r="25" ht="48" customHeight="1">
      <c r="A25" s="5" t="inlineStr">
        <is>
          <t>E. 成交处理与STP</t>
        </is>
      </c>
      <c r="B25" s="3" t="inlineStr">
        <is>
          <t>F02-05</t>
        </is>
      </c>
      <c r="C25" s="4" t="inlineStr">
        <is>
          <t>交易确认与指令生成</t>
        </is>
      </c>
      <c r="D25" s="5" t="inlineStr">
        <is>
          <t>成交确认后自动生成DVP/FOP清算指令，含托管账户/资金账户/ISIN/结算金额完整要素，推送清算结算模块</t>
        </is>
      </c>
      <c r="E25" s="5" t="inlineStr">
        <is>
          <t>成交到指令生成延迟&lt;500ms，指令要素完整率100%</t>
        </is>
      </c>
      <c r="F25" s="5" t="inlineStr">
        <is>
          <t>清算结算后台(Module 14)/中登中债登接口</t>
        </is>
      </c>
      <c r="G25" s="41" t="inlineStr">
        <is>
          <t>高</t>
        </is>
      </c>
      <c r="H25" s="8" t="n">
        <v>20</v>
      </c>
      <c r="I25" s="6" t="inlineStr">
        <is>
          <t>P1</t>
        </is>
      </c>
      <c r="J25" s="5" t="inlineStr"/>
    </row>
    <row r="26" ht="48" customHeight="1">
      <c r="A26" s="5" t="inlineStr">
        <is>
          <t>E. 成交处理与STP</t>
        </is>
      </c>
      <c r="B26" s="3" t="inlineStr">
        <is>
          <t>F02-18</t>
        </is>
      </c>
      <c r="C26" s="4" t="inlineStr">
        <is>
          <t>STP直通处理</t>
        </is>
      </c>
      <c r="D26" s="5" t="inlineStr">
        <is>
          <t>成交→IBOR更新→清算指令全链路无人工干预，异常（金额差异/账户不匹配）自动隔离进入人工处理队列，STP率实时监控</t>
        </is>
      </c>
      <c r="E26" s="5" t="inlineStr">
        <is>
          <t>STP直通率&gt;98%，异常隔离延迟&lt;1min，人工处理队列可视化</t>
        </is>
      </c>
      <c r="F26" s="5" t="inlineStr">
        <is>
          <t>IBOR(Module 1)/清算结算(Module 14)/Kafka</t>
        </is>
      </c>
      <c r="G26" s="41" t="inlineStr">
        <is>
          <t>高</t>
        </is>
      </c>
      <c r="H26" s="8" t="n">
        <v>25</v>
      </c>
      <c r="I26" s="6" t="inlineStr">
        <is>
          <t>P1</t>
        </is>
      </c>
      <c r="J26" s="5" t="inlineStr"/>
    </row>
    <row r="27" ht="48" customHeight="1">
      <c r="A27" s="5" t="inlineStr">
        <is>
          <t>E. 成交处理与STP</t>
        </is>
      </c>
      <c r="B27" s="3" t="inlineStr">
        <is>
          <t>F02-19</t>
        </is>
      </c>
      <c r="C27" s="4" t="inlineStr">
        <is>
          <t>成交修正与错单处理</t>
        </is>
      </c>
      <c r="D27" s="5" t="inlineStr">
        <is>
          <t>支持T+0错单撤销/修改，含双级审批工作流，修正后重新触发STP链路，错单历史与原因分类统计</t>
        </is>
      </c>
      <c r="E27" s="5" t="inlineStr">
        <is>
          <t>错单处理T+0完成，审批链≤2级，修正后STP重触发成功率&gt;99%</t>
        </is>
      </c>
      <c r="F27" s="5" t="inlineStr">
        <is>
          <t>权限管理/IBOR/清算结算</t>
        </is>
      </c>
      <c r="G27" s="42" t="inlineStr">
        <is>
          <t>中</t>
        </is>
      </c>
      <c r="H27" s="8" t="n">
        <v>20</v>
      </c>
      <c r="I27" s="6" t="inlineStr">
        <is>
          <t>P1</t>
        </is>
      </c>
      <c r="J27" s="5" t="inlineStr"/>
    </row>
    <row r="28" ht="48" customHeight="1">
      <c r="A28" s="11" t="inlineStr">
        <is>
          <t>E. 成交处理与STP</t>
        </is>
      </c>
      <c r="B28" s="10" t="inlineStr">
        <is>
          <t>F02-20</t>
        </is>
      </c>
      <c r="C28" s="27" t="inlineStr">
        <is>
          <t>跨市场净额轧差</t>
        </is>
      </c>
      <c r="D28" s="11" t="inlineStr">
        <is>
          <t>同日同券银行间+交易所成交净额轧差计算，减少资金占用，净额结果推送清算系统，轧差差异自动核对</t>
        </is>
      </c>
      <c r="E28" s="11" t="inlineStr">
        <is>
          <t>净额轧差计算准确率100%，与清算系统差异核对通过率&gt;99.9%</t>
        </is>
      </c>
      <c r="F28" s="11" t="inlineStr">
        <is>
          <t>清算结算后台(Module 14)</t>
        </is>
      </c>
      <c r="G28" s="42" t="inlineStr">
        <is>
          <t>中</t>
        </is>
      </c>
      <c r="H28" s="13" t="n">
        <v>20</v>
      </c>
      <c r="I28" s="12" t="inlineStr">
        <is>
          <t>P2</t>
        </is>
      </c>
      <c r="J28" s="11" t="inlineStr"/>
    </row>
    <row r="29" ht="18" customHeight="1">
      <c r="A29" s="44" t="inlineStr">
        <is>
          <t>F. 做市与流动性管理</t>
        </is>
      </c>
    </row>
    <row r="30" ht="48" customHeight="1">
      <c r="A30" s="11" t="inlineStr">
        <is>
          <t>F. 做市与流动性管理</t>
        </is>
      </c>
      <c r="B30" s="10" t="inlineStr">
        <is>
          <t>F02-06</t>
        </is>
      </c>
      <c r="C30" s="27" t="inlineStr">
        <is>
          <t>做市报价接口</t>
        </is>
      </c>
      <c r="D30" s="11" t="inlineStr">
        <is>
          <t>支持双边报价做市模式，库存实时刷新驱动报价价差自动调整，与做市商系统(Module 15)预留标准接口</t>
        </is>
      </c>
      <c r="E30" s="11" t="inlineStr">
        <is>
          <t>报价刷新延迟&lt;500ms，做市接口符合Module 15做市商系统对接规范</t>
        </is>
      </c>
      <c r="F30" s="11" t="inlineStr">
        <is>
          <t>做市商系统(Module 15)/IBOR持仓</t>
        </is>
      </c>
      <c r="G30" s="42" t="inlineStr">
        <is>
          <t>中</t>
        </is>
      </c>
      <c r="H30" s="13" t="n">
        <v>10</v>
      </c>
      <c r="I30" s="12" t="inlineStr">
        <is>
          <t>P2</t>
        </is>
      </c>
      <c r="J30" s="11" t="inlineStr"/>
    </row>
    <row r="31" ht="48" customHeight="1">
      <c r="A31" s="11" t="inlineStr">
        <is>
          <t>F. 做市与流动性管理</t>
        </is>
      </c>
      <c r="B31" s="10" t="inlineStr">
        <is>
          <t>F02-21</t>
        </is>
      </c>
      <c r="C31" s="27" t="inlineStr">
        <is>
          <t>库存管理与头寸监控</t>
        </is>
      </c>
      <c r="D31" s="11" t="inlineStr">
        <is>
          <t>做市库存实时监控，目标库存区间配置，超出区间触发预警，库存归零/超限自动暂停报价，日内库存P&amp;L实时展示</t>
        </is>
      </c>
      <c r="E31" s="11" t="inlineStr">
        <is>
          <t>库存监控更新&lt;1s，超限预警触发率100%，暂停报价延迟&lt;500ms</t>
        </is>
      </c>
      <c r="F31" s="11" t="inlineStr">
        <is>
          <t>IBOR持仓(Module 1)/做市商系统(Module 15)</t>
        </is>
      </c>
      <c r="G31" s="42" t="inlineStr">
        <is>
          <t>中</t>
        </is>
      </c>
      <c r="H31" s="13" t="n">
        <v>20</v>
      </c>
      <c r="I31" s="12" t="inlineStr">
        <is>
          <t>P2</t>
        </is>
      </c>
      <c r="J31" s="11" t="inlineStr"/>
    </row>
    <row r="32" ht="48" customHeight="1">
      <c r="A32" s="11" t="inlineStr">
        <is>
          <t>F. 做市与流动性管理</t>
        </is>
      </c>
      <c r="B32" s="10" t="inlineStr">
        <is>
          <t>F02-22</t>
        </is>
      </c>
      <c r="C32" s="27" t="inlineStr">
        <is>
          <t>报价P&amp;L归因</t>
        </is>
      </c>
      <c r="D32" s="11" t="inlineStr">
        <is>
          <t>做市盈亏拆分（买卖价差收益/库存持有收益/汇率收益），按券种/期限/信用等级多维度统计，日/月做市绩效报告</t>
        </is>
      </c>
      <c r="E32" s="11" t="inlineStr">
        <is>
          <t>P&amp;L归因覆盖100%做市成交，维度下钻≥4级，日报T+0生成</t>
        </is>
      </c>
      <c r="F32" s="11" t="inlineStr">
        <is>
          <t>IBOR持仓/实时行情/成交记录</t>
        </is>
      </c>
      <c r="G32" s="42" t="inlineStr">
        <is>
          <t>中</t>
        </is>
      </c>
      <c r="H32" s="13" t="n">
        <v>20</v>
      </c>
      <c r="I32" s="12" t="inlineStr">
        <is>
          <t>P2</t>
        </is>
      </c>
      <c r="J32" s="11" t="inlineStr"/>
    </row>
    <row r="33" ht="18" customHeight="1">
      <c r="A33" s="22" t="inlineStr">
        <is>
          <t>G. 行情与数据接入</t>
        </is>
      </c>
    </row>
    <row r="34" ht="48" customHeight="1">
      <c r="A34" s="5" t="inlineStr">
        <is>
          <t>G. 行情与数据接入</t>
        </is>
      </c>
      <c r="B34" s="3" t="inlineStr">
        <is>
          <t>F02-23</t>
        </is>
      </c>
      <c r="C34" s="4" t="inlineStr">
        <is>
          <t>实时行情接入</t>
        </is>
      </c>
      <c r="D34" s="5" t="inlineStr">
        <is>
          <t>接入AMD/Bloomberg实时债券成交行情、报价行情，标准化清洗，异常跳价过滤，推送至交易终端与定价层</t>
        </is>
      </c>
      <c r="E34" s="5" t="inlineStr">
        <is>
          <t>行情延迟&lt;1s，异常行情自动过滤告警，数据完整性&gt;99.9%</t>
        </is>
      </c>
      <c r="F34" s="5" t="inlineStr">
        <is>
          <t>AMD行情平台/Bloomberg API</t>
        </is>
      </c>
      <c r="G34" s="42" t="inlineStr">
        <is>
          <t>中</t>
        </is>
      </c>
      <c r="H34" s="8" t="n">
        <v>20</v>
      </c>
      <c r="I34" s="6" t="inlineStr">
        <is>
          <t>P1</t>
        </is>
      </c>
      <c r="J34" s="5" t="inlineStr"/>
    </row>
    <row r="35" ht="48" customHeight="1">
      <c r="A35" s="5" t="inlineStr">
        <is>
          <t>G. 行情与数据接入</t>
        </is>
      </c>
      <c r="B35" s="3" t="inlineStr">
        <is>
          <t>F02-24</t>
        </is>
      </c>
      <c r="C35" s="4" t="inlineStr">
        <is>
          <t>利率曲线与信用利差</t>
        </is>
      </c>
      <c r="D35" s="5" t="inlineStr">
        <is>
          <t>中债估值曲线/国债收益率曲线/信用利差矩阵实时推送至交易终端，支持手动覆盖曲线点位（需审批），历史曲线回放</t>
        </is>
      </c>
      <c r="E35" s="5" t="inlineStr">
        <is>
          <t>曲线更新延迟&lt;2s，历史曲线回放支持任意交易日，覆盖率100%</t>
        </is>
      </c>
      <c r="F35" s="5" t="inlineStr">
        <is>
          <t>中债数据接口/AMD估值平台</t>
        </is>
      </c>
      <c r="G35" s="42" t="inlineStr">
        <is>
          <t>中</t>
        </is>
      </c>
      <c r="H35" s="8" t="n">
        <v>20</v>
      </c>
      <c r="I35" s="6" t="inlineStr">
        <is>
          <t>P1</t>
        </is>
      </c>
      <c r="J35" s="5" t="inlineStr"/>
    </row>
    <row r="36" ht="48" customHeight="1">
      <c r="A36" s="5" t="inlineStr">
        <is>
          <t>G. 行情与数据接入</t>
        </is>
      </c>
      <c r="B36" s="3" t="inlineStr">
        <is>
          <t>F02-25</t>
        </is>
      </c>
      <c r="C36" s="4" t="inlineStr">
        <is>
          <t>债券基础数据维护</t>
        </is>
      </c>
      <c r="D36" s="5" t="inlineStr">
        <is>
          <t>债券要素（ISIN/票面/期限/评级/含权条款/付息安排/发行人）自动从中债登/Wind同步，异动实时告警，人工维护通道与审批</t>
        </is>
      </c>
      <c r="E36" s="5" t="inlineStr">
        <is>
          <t>新券上市后基础数据就绪&lt;2h，要素同步准确率&gt;99.9%</t>
        </is>
      </c>
      <c r="F36" s="5" t="inlineStr">
        <is>
          <t>中债登/Wind数据接口/资产主数据系统</t>
        </is>
      </c>
      <c r="G36" s="42" t="inlineStr">
        <is>
          <t>低</t>
        </is>
      </c>
      <c r="H36" s="8" t="n">
        <v>15</v>
      </c>
      <c r="I36" s="6" t="inlineStr">
        <is>
          <t>P1</t>
        </is>
      </c>
      <c r="J36" s="5" t="inlineStr"/>
    </row>
    <row r="37" ht="18" customHeight="1">
      <c r="A37" s="40" t="inlineStr">
        <is>
          <t>H. 交易分析与报表</t>
        </is>
      </c>
    </row>
    <row r="38" ht="48" customHeight="1">
      <c r="A38" s="11" t="inlineStr">
        <is>
          <t>H. 交易分析与报表</t>
        </is>
      </c>
      <c r="B38" s="10" t="inlineStr">
        <is>
          <t>F02-26</t>
        </is>
      </c>
      <c r="C38" s="27" t="inlineStr">
        <is>
          <t>交易执行质量分析(TCA)</t>
        </is>
      </c>
      <c r="D38" s="11" t="inlineStr">
        <is>
          <t>成交价vs基准价(VWAP/到达价/中债估值)偏差统计，执行成本量化，滑点分析，按交易员/策略/品种多维度排名</t>
        </is>
      </c>
      <c r="E38" s="11" t="inlineStr">
        <is>
          <t>TCA覆盖100%成交记录，基准价偏差计算准确，报告T+1生成</t>
        </is>
      </c>
      <c r="F38" s="11" t="inlineStr">
        <is>
          <t>成交记录/AMD实时行情/中债估值</t>
        </is>
      </c>
      <c r="G38" s="41" t="inlineStr">
        <is>
          <t>高</t>
        </is>
      </c>
      <c r="H38" s="13" t="n">
        <v>25</v>
      </c>
      <c r="I38" s="12" t="inlineStr">
        <is>
          <t>P2</t>
        </is>
      </c>
      <c r="J38" s="11" t="inlineStr"/>
    </row>
    <row r="39" ht="48" customHeight="1">
      <c r="A39" s="5" t="inlineStr">
        <is>
          <t>H. 交易分析与报表</t>
        </is>
      </c>
      <c r="B39" s="3" t="inlineStr">
        <is>
          <t>F02-27</t>
        </is>
      </c>
      <c r="C39" s="4" t="inlineStr">
        <is>
          <t>监管报送支持</t>
        </is>
      </c>
      <c r="D39" s="5" t="inlineStr">
        <is>
          <t>按CFETS/人民银行/证监会格式提取成交数据，含日成交报告/大额交易申报/异常交易上报，定时自动推送，报送状态跟踪</t>
        </is>
      </c>
      <c r="E39" s="5" t="inlineStr">
        <is>
          <t>报送数据与成交记录一致性100%，定时推送准时率&gt;99.9%，推送失败自动告警重试</t>
        </is>
      </c>
      <c r="F39" s="5" t="inlineStr">
        <is>
          <t>成交记录/事前风控系统/报表引擎</t>
        </is>
      </c>
      <c r="G39" s="42" t="inlineStr">
        <is>
          <t>中</t>
        </is>
      </c>
      <c r="H39" s="8" t="n">
        <v>20</v>
      </c>
      <c r="I39" s="6" t="inlineStr">
        <is>
          <t>P1</t>
        </is>
      </c>
      <c r="J39" s="5" t="inlineStr"/>
    </row>
    <row r="40" ht="48" customHeight="1">
      <c r="A40" s="11" t="inlineStr">
        <is>
          <t>H. 交易分析与报表</t>
        </is>
      </c>
      <c r="B40" s="10" t="inlineStr">
        <is>
          <t>F02-28</t>
        </is>
      </c>
      <c r="C40" s="27" t="inlineStr">
        <is>
          <t>交易统计分析</t>
        </is>
      </c>
      <c r="D40" s="11" t="inlineStr">
        <is>
          <t>日/月/季成交量统计（按品种/期限/评级/账户/交易员维度），换手率趋势，市场份额分析，可视化Dashboard与Excel导出</t>
        </is>
      </c>
      <c r="E40" s="11" t="inlineStr">
        <is>
          <t>统计报表T+1生成，支持≥6个分析维度，Excel导出格式标准</t>
        </is>
      </c>
      <c r="F40" s="11" t="inlineStr">
        <is>
          <t>成交记录/IBOR持仓</t>
        </is>
      </c>
      <c r="G40" s="42" t="inlineStr">
        <is>
          <t>低</t>
        </is>
      </c>
      <c r="H40" s="13" t="n">
        <v>15</v>
      </c>
      <c r="I40" s="12" t="inlineStr">
        <is>
          <t>P2</t>
        </is>
      </c>
      <c r="J40" s="11" t="inlineStr"/>
    </row>
    <row r="41">
      <c r="A41" s="40" t="inlineStr">
        <is>
          <t>合计 28项功能  |  P1: 19项  |  P2: 9项</t>
        </is>
      </c>
      <c r="H41" s="20">
        <f>SUM(H5:H40)</f>
        <v/>
      </c>
      <c r="I41" s="34" t="inlineStr"/>
      <c r="J41" s="34" t="inlineStr"/>
    </row>
  </sheetData>
  <mergeCells count="12">
    <mergeCell ref="A1:J1"/>
    <mergeCell ref="A5:J5"/>
    <mergeCell ref="A37:J37"/>
    <mergeCell ref="A3:J3"/>
    <mergeCell ref="A15:J15"/>
    <mergeCell ref="A29:J29"/>
    <mergeCell ref="A20:J20"/>
    <mergeCell ref="A24:J24"/>
    <mergeCell ref="A2:J2"/>
    <mergeCell ref="A41:G41"/>
    <mergeCell ref="A10:J10"/>
    <mergeCell ref="A33:J3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系统详情：FOF投资系统  |  FOF Investment System</t>
        </is>
      </c>
    </row>
    <row r="2" ht="36" customHeight="1">
      <c r="A2" s="39" t="inlineStr">
        <is>
          <t>战略定位：基金/FOF投资业务系统化管理，覆盖基础信息、交易录入、组合风控全链路；对应PPT Slide 43   |   来源：Slide 43</t>
        </is>
      </c>
    </row>
    <row r="3" ht="28" customHeight="1">
      <c r="A3" s="40" t="inlineStr">
        <is>
          <t>模块：FOF投资系统  (FOF Investment System)  |  优先级：P2  |  竞品：恒生/金证  |  华锐基础：IBOR持仓账薄  |  工期：4月  团队：5人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D1. 基础信息管理</t>
        </is>
      </c>
    </row>
    <row r="6" ht="48" customHeight="1">
      <c r="A6" s="11" t="inlineStr">
        <is>
          <t>D1. 基础信息管理</t>
        </is>
      </c>
      <c r="B6" s="10" t="inlineStr">
        <is>
          <t>F03-01</t>
        </is>
      </c>
      <c r="C6" s="27" t="inlineStr">
        <is>
          <t>管理人与基金基础信息</t>
        </is>
      </c>
      <c r="D6" s="11" t="inlineStr">
        <is>
          <t>管理人黑名单维护，基金策略分类，基金基础要素（规模/净值/评级）录入与更新，管理人信息库</t>
        </is>
      </c>
      <c r="E6" s="11" t="inlineStr"/>
      <c r="F6" s="11" t="inlineStr"/>
      <c r="G6" s="42" t="inlineStr">
        <is>
          <t>低</t>
        </is>
      </c>
      <c r="H6" s="13" t="n">
        <v>15</v>
      </c>
      <c r="I6" s="12" t="inlineStr">
        <is>
          <t>P2</t>
        </is>
      </c>
      <c r="J6" s="11" t="inlineStr"/>
    </row>
    <row r="7" ht="48" customHeight="1">
      <c r="A7" s="11" t="inlineStr">
        <is>
          <t>D1. 基础信息管理</t>
        </is>
      </c>
      <c r="B7" s="10" t="inlineStr">
        <is>
          <t>F03-02</t>
        </is>
      </c>
      <c r="C7" s="27" t="inlineStr">
        <is>
          <t>基金资产信息获取</t>
        </is>
      </c>
      <c r="D7" s="11" t="inlineStr">
        <is>
          <t>通过邮箱/API自动获取基金资产报告，解析持仓明细并入库，多来源数据合并去重，导入工具</t>
        </is>
      </c>
      <c r="E7" s="11" t="inlineStr"/>
      <c r="F7" s="11" t="inlineStr"/>
      <c r="G7" s="42" t="inlineStr">
        <is>
          <t>中</t>
        </is>
      </c>
      <c r="H7" s="13" t="n">
        <v>20</v>
      </c>
      <c r="I7" s="12" t="inlineStr">
        <is>
          <t>P2</t>
        </is>
      </c>
      <c r="J7" s="11" t="inlineStr"/>
    </row>
    <row r="8" ht="48" customHeight="1">
      <c r="A8" s="11" t="inlineStr">
        <is>
          <t>D1. 基础信息管理</t>
        </is>
      </c>
      <c r="B8" s="10" t="inlineStr">
        <is>
          <t>F03-03</t>
        </is>
      </c>
      <c r="C8" s="27" t="inlineStr">
        <is>
          <t>子基金持仓穿透</t>
        </is>
      </c>
      <c r="D8" s="11" t="inlineStr">
        <is>
          <t>穿透底层基金持仓至个券/个股层面，合并计算组合总敞口，支持集中度与评级分布分析</t>
        </is>
      </c>
      <c r="E8" s="11" t="inlineStr"/>
      <c r="F8" s="11" t="inlineStr"/>
      <c r="G8" s="41" t="inlineStr">
        <is>
          <t>高</t>
        </is>
      </c>
      <c r="H8" s="13" t="n">
        <v>25</v>
      </c>
      <c r="I8" s="12" t="inlineStr">
        <is>
          <t>P2</t>
        </is>
      </c>
      <c r="J8" s="11" t="inlineStr"/>
    </row>
    <row r="9" ht="18" customHeight="1">
      <c r="A9" s="40" t="inlineStr">
        <is>
          <t>D2. 交易管理</t>
        </is>
      </c>
    </row>
    <row r="10" ht="48" customHeight="1">
      <c r="A10" s="11" t="inlineStr">
        <is>
          <t>D2. 交易管理</t>
        </is>
      </c>
      <c r="B10" s="10" t="inlineStr">
        <is>
          <t>F03-04</t>
        </is>
      </c>
      <c r="C10" s="27" t="inlineStr">
        <is>
          <t>交易录入与审核</t>
        </is>
      </c>
      <c r="D10" s="11" t="inlineStr">
        <is>
          <t>申购/赎回/换仓交易录入，交易明细管理，双级审核工作流（投资助理录入→风控复核），审批记录留痕</t>
        </is>
      </c>
      <c r="E10" s="11" t="inlineStr"/>
      <c r="F10" s="11" t="inlineStr"/>
      <c r="G10" s="42" t="inlineStr">
        <is>
          <t>中</t>
        </is>
      </c>
      <c r="H10" s="13" t="n">
        <v>20</v>
      </c>
      <c r="I10" s="12" t="inlineStr">
        <is>
          <t>P2</t>
        </is>
      </c>
      <c r="J10" s="11" t="inlineStr"/>
    </row>
    <row r="11" ht="48" customHeight="1">
      <c r="A11" s="11" t="inlineStr">
        <is>
          <t>D2. 交易管理</t>
        </is>
      </c>
      <c r="B11" s="10" t="inlineStr">
        <is>
          <t>F03-05</t>
        </is>
      </c>
      <c r="C11" s="27" t="inlineStr">
        <is>
          <t>申赎情况跟踪</t>
        </is>
      </c>
      <c r="D11" s="11" t="inlineStr">
        <is>
          <t>子基金申购/赎回状态全生命周期跟踪，到账确认，净值更新后自动触发持仓重算</t>
        </is>
      </c>
      <c r="E11" s="11" t="inlineStr"/>
      <c r="F11" s="11" t="inlineStr"/>
      <c r="G11" s="42" t="inlineStr">
        <is>
          <t>中</t>
        </is>
      </c>
      <c r="H11" s="13" t="n">
        <v>15</v>
      </c>
      <c r="I11" s="12" t="inlineStr">
        <is>
          <t>P2</t>
        </is>
      </c>
      <c r="J11" s="11" t="inlineStr"/>
    </row>
    <row r="12" ht="18" customHeight="1">
      <c r="A12" s="43" t="inlineStr">
        <is>
          <t>D3. 风控报告</t>
        </is>
      </c>
    </row>
    <row r="13" ht="48" customHeight="1">
      <c r="A13" s="11" t="inlineStr">
        <is>
          <t>D3. 风控报告</t>
        </is>
      </c>
      <c r="B13" s="10" t="inlineStr">
        <is>
          <t>F03-06</t>
        </is>
      </c>
      <c r="C13" s="27" t="inlineStr">
        <is>
          <t>组合风控报告生成</t>
        </is>
      </c>
      <c r="D13" s="11" t="inlineStr">
        <is>
          <t>按管理人策略限制/投资占比限制/白名单分类/子基金申赎情况生成风控日报和周报</t>
        </is>
      </c>
      <c r="E13" s="11" t="inlineStr"/>
      <c r="F13" s="11" t="inlineStr"/>
      <c r="G13" s="42" t="inlineStr">
        <is>
          <t>中</t>
        </is>
      </c>
      <c r="H13" s="13" t="n">
        <v>20</v>
      </c>
      <c r="I13" s="12" t="inlineStr">
        <is>
          <t>P2</t>
        </is>
      </c>
      <c r="J13" s="11" t="inlineStr"/>
    </row>
    <row r="14" ht="48" customHeight="1">
      <c r="A14" s="11" t="inlineStr">
        <is>
          <t>D3. 风控报告</t>
        </is>
      </c>
      <c r="B14" s="10" t="inlineStr">
        <is>
          <t>F03-07</t>
        </is>
      </c>
      <c r="C14" s="27" t="inlineStr">
        <is>
          <t>报告推送与查阅</t>
        </is>
      </c>
      <c r="D14" s="11" t="inlineStr">
        <is>
          <t>风控日报/周报自动推送给风控人员，支持在线查看与下载，历史报告归档查询</t>
        </is>
      </c>
      <c r="E14" s="11" t="inlineStr"/>
      <c r="F14" s="11" t="inlineStr"/>
      <c r="G14" s="42" t="inlineStr">
        <is>
          <t>低</t>
        </is>
      </c>
      <c r="H14" s="13" t="n">
        <v>10</v>
      </c>
      <c r="I14" s="12" t="inlineStr">
        <is>
          <t>P2</t>
        </is>
      </c>
      <c r="J14" s="11" t="inlineStr"/>
    </row>
    <row r="15">
      <c r="A15" s="40" t="inlineStr">
        <is>
          <t>合计 7项功能  |  P1: 0项  |  P2: 7项</t>
        </is>
      </c>
      <c r="H15" s="20">
        <f>SUM(H5:H14)</f>
        <v/>
      </c>
      <c r="I15" s="34" t="inlineStr"/>
      <c r="J15" s="34" t="inlineStr"/>
    </row>
  </sheetData>
  <mergeCells count="7">
    <mergeCell ref="A1:J1"/>
    <mergeCell ref="A5:J5"/>
    <mergeCell ref="A9:J9"/>
    <mergeCell ref="A3:J3"/>
    <mergeCell ref="A12:J12"/>
    <mergeCell ref="A15:G15"/>
    <mergeCell ref="A2:J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系统详情：FICC风险计量平台  |  FICC Risk Measurement Platform</t>
        </is>
      </c>
    </row>
    <row r="2" ht="36" customHeight="1">
      <c r="A2" s="39" t="inlineStr">
        <is>
          <t>战略定位：替代衡泰老旧系统，信创切入口；覆盖投前/投中/投后全生命周期风险管理；对应PPT Slide 52   |   来源：Slide 52</t>
        </is>
      </c>
    </row>
    <row r="3" ht="28" customHeight="1">
      <c r="A3" s="40" t="inlineStr">
        <is>
          <t>模块：FICC风险计量平台  (FICC Risk Measurement Platform)  |  优先级：P1  |  竞品：衡泰(垄断)  |  华锐基础：ARC风险引擎/IBOR  |  工期：14月  团队：12人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D1. 投前风险分析</t>
        </is>
      </c>
    </row>
    <row r="6" ht="48" customHeight="1">
      <c r="A6" s="5" t="inlineStr">
        <is>
          <t>D1. 投前风险分析</t>
        </is>
      </c>
      <c r="B6" s="3" t="inlineStr">
        <is>
          <t>F04-01</t>
        </is>
      </c>
      <c r="C6" s="4" t="inlineStr">
        <is>
          <t>组合What-if分析</t>
        </is>
      </c>
      <c r="D6" s="5" t="inlineStr">
        <is>
          <t>What-if情景建模，Duration &amp; Convexity影响分析，VaR贡献分解，风险因子敞口，集中度分析</t>
        </is>
      </c>
      <c r="E6" s="5" t="inlineStr"/>
      <c r="F6" s="5" t="inlineStr"/>
      <c r="G6" s="41" t="inlineStr">
        <is>
          <t>高</t>
        </is>
      </c>
      <c r="H6" s="8" t="n">
        <v>30</v>
      </c>
      <c r="I6" s="6" t="inlineStr">
        <is>
          <t>P1</t>
        </is>
      </c>
      <c r="J6" s="5" t="inlineStr"/>
    </row>
    <row r="7" ht="48" customHeight="1">
      <c r="A7" s="5" t="inlineStr">
        <is>
          <t>D1. 投前风险分析</t>
        </is>
      </c>
      <c r="B7" s="3" t="inlineStr">
        <is>
          <t>F04-02</t>
        </is>
      </c>
      <c r="C7" s="4" t="inlineStr">
        <is>
          <t>授权敞口分析</t>
        </is>
      </c>
      <c r="D7" s="5" t="inlineStr">
        <is>
          <t>交易前限额验证，交易对手/集中度/监管/组合约束多维度限额检查，Pre-trade拦截</t>
        </is>
      </c>
      <c r="E7" s="5" t="inlineStr"/>
      <c r="F7" s="5" t="inlineStr"/>
      <c r="G7" s="41" t="inlineStr">
        <is>
          <t>高</t>
        </is>
      </c>
      <c r="H7" s="8" t="n">
        <v>25</v>
      </c>
      <c r="I7" s="6" t="inlineStr">
        <is>
          <t>P1</t>
        </is>
      </c>
      <c r="J7" s="5" t="inlineStr"/>
    </row>
    <row r="8" ht="48" customHeight="1">
      <c r="A8" s="5" t="inlineStr">
        <is>
          <t>D1. 投前风险分析</t>
        </is>
      </c>
      <c r="B8" s="3" t="inlineStr">
        <is>
          <t>F04-03</t>
        </is>
      </c>
      <c r="C8" s="4" t="inlineStr">
        <is>
          <t>投资预测分析</t>
        </is>
      </c>
      <c r="D8" s="5" t="inlineStr">
        <is>
          <t>P&amp;L与风险归因预测建模，收益率曲线/利差/波动率因子预测，组合构建优化，多情景对比分析</t>
        </is>
      </c>
      <c r="E8" s="5" t="inlineStr"/>
      <c r="F8" s="5" t="inlineStr"/>
      <c r="G8" s="28" t="inlineStr">
        <is>
          <t>极高</t>
        </is>
      </c>
      <c r="H8" s="8" t="n">
        <v>35</v>
      </c>
      <c r="I8" s="6" t="inlineStr">
        <is>
          <t>P1</t>
        </is>
      </c>
      <c r="J8" s="5" t="inlineStr"/>
    </row>
    <row r="9" ht="18" customHeight="1">
      <c r="A9" s="40" t="inlineStr">
        <is>
          <t>D2. 投中实时监控</t>
        </is>
      </c>
    </row>
    <row r="10" ht="48" customHeight="1">
      <c r="A10" s="5" t="inlineStr">
        <is>
          <t>D2. 投中实时监控</t>
        </is>
      </c>
      <c r="B10" s="3" t="inlineStr">
        <is>
          <t>F04-04</t>
        </is>
      </c>
      <c r="C10" s="4" t="inlineStr">
        <is>
          <t>实时风险计量</t>
        </is>
      </c>
      <c r="D10" s="5" t="inlineStr">
        <is>
          <t>Real-time DV01/CS01，Live VaR，Dynamic Greeks，日内P&amp;L与归因，风险限额利用率实时展示</t>
        </is>
      </c>
      <c r="E10" s="5" t="inlineStr"/>
      <c r="F10" s="5" t="inlineStr"/>
      <c r="G10" s="28" t="inlineStr">
        <is>
          <t>极高</t>
        </is>
      </c>
      <c r="H10" s="8" t="n">
        <v>40</v>
      </c>
      <c r="I10" s="6" t="inlineStr">
        <is>
          <t>P1</t>
        </is>
      </c>
      <c r="J10" s="5" t="inlineStr"/>
    </row>
    <row r="11" ht="48" customHeight="1">
      <c r="A11" s="5" t="inlineStr">
        <is>
          <t>D2. 投中实时监控</t>
        </is>
      </c>
      <c r="B11" s="3" t="inlineStr">
        <is>
          <t>F04-05</t>
        </is>
      </c>
      <c r="C11" s="4" t="inlineStr">
        <is>
          <t>交易对手风险实时监控</t>
        </is>
      </c>
      <c r="D11" s="5" t="inlineStr">
        <is>
          <t>实时敞口聚合，抵押品监控，信用限额使用率，结算风险，净额结算协议管理</t>
        </is>
      </c>
      <c r="E11" s="5" t="inlineStr"/>
      <c r="F11" s="5" t="inlineStr"/>
      <c r="G11" s="41" t="inlineStr">
        <is>
          <t>高</t>
        </is>
      </c>
      <c r="H11" s="8" t="n">
        <v>30</v>
      </c>
      <c r="I11" s="6" t="inlineStr">
        <is>
          <t>P1</t>
        </is>
      </c>
      <c r="J11" s="5" t="inlineStr"/>
    </row>
    <row r="12" ht="48" customHeight="1">
      <c r="A12" s="5" t="inlineStr">
        <is>
          <t>D2. 投中实时监控</t>
        </is>
      </c>
      <c r="B12" s="3" t="inlineStr">
        <is>
          <t>F04-06</t>
        </is>
      </c>
      <c r="C12" s="4" t="inlineStr">
        <is>
          <t>流动性分析与交易成本</t>
        </is>
      </c>
      <c r="D12" s="5" t="inlineStr">
        <is>
          <t>执行风险监控，市场冲击分析，流动性成本追踪，滑点计量，最优执行合规</t>
        </is>
      </c>
      <c r="E12" s="5" t="inlineStr"/>
      <c r="F12" s="5" t="inlineStr"/>
      <c r="G12" s="41" t="inlineStr">
        <is>
          <t>高</t>
        </is>
      </c>
      <c r="H12" s="8" t="n">
        <v>25</v>
      </c>
      <c r="I12" s="6" t="inlineStr">
        <is>
          <t>P1</t>
        </is>
      </c>
      <c r="J12" s="5" t="inlineStr"/>
    </row>
    <row r="13" ht="48" customHeight="1">
      <c r="A13" s="5" t="inlineStr">
        <is>
          <t>D2. 投中实时监控</t>
        </is>
      </c>
      <c r="B13" s="3" t="inlineStr">
        <is>
          <t>F04-07</t>
        </is>
      </c>
      <c r="C13" s="4" t="inlineStr">
        <is>
          <t>实时风险全景图</t>
        </is>
      </c>
      <c r="D13" s="5" t="inlineStr">
        <is>
          <t>实时持仓追踪，流式风险指标，实时限额监控，告警管理，异常跟踪仪表板</t>
        </is>
      </c>
      <c r="E13" s="5" t="inlineStr"/>
      <c r="F13" s="5" t="inlineStr"/>
      <c r="G13" s="41" t="inlineStr">
        <is>
          <t>高</t>
        </is>
      </c>
      <c r="H13" s="8" t="n">
        <v>25</v>
      </c>
      <c r="I13" s="6" t="inlineStr">
        <is>
          <t>P1</t>
        </is>
      </c>
      <c r="J13" s="5" t="inlineStr"/>
    </row>
    <row r="14" ht="18" customHeight="1">
      <c r="A14" s="43" t="inlineStr">
        <is>
          <t>D3. 风控引擎</t>
        </is>
      </c>
    </row>
    <row r="15" ht="48" customHeight="1">
      <c r="A15" s="5" t="inlineStr">
        <is>
          <t>D3. 风控引擎</t>
        </is>
      </c>
      <c r="B15" s="3" t="inlineStr">
        <is>
          <t>F04-08</t>
        </is>
      </c>
      <c r="C15" s="4" t="inlineStr">
        <is>
          <t>DV01/CS01计算</t>
        </is>
      </c>
      <c r="D15" s="5" t="inlineStr">
        <is>
          <t>dPV/dy价格敏感度，信用利差敏感度，分桶移动与关键期限，平行与非平行冲击</t>
        </is>
      </c>
      <c r="E15" s="5" t="inlineStr"/>
      <c r="F15" s="5" t="inlineStr"/>
      <c r="G15" s="28" t="inlineStr">
        <is>
          <t>极高</t>
        </is>
      </c>
      <c r="H15" s="8" t="n">
        <v>40</v>
      </c>
      <c r="I15" s="6" t="inlineStr">
        <is>
          <t>P1</t>
        </is>
      </c>
      <c r="J15" s="5" t="inlineStr"/>
    </row>
    <row r="16" ht="48" customHeight="1">
      <c r="A16" s="5" t="inlineStr">
        <is>
          <t>D3. 风控引擎</t>
        </is>
      </c>
      <c r="B16" s="3" t="inlineStr">
        <is>
          <t>F04-09</t>
        </is>
      </c>
      <c r="C16" s="4" t="inlineStr">
        <is>
          <t>Greeks与敏感度计算</t>
        </is>
      </c>
      <c r="D16" s="5" t="inlineStr">
        <is>
          <t>Delta/Gamma/Vega/Theta/Rho分布式实时计算，覆盖固收全品种与衍生品</t>
        </is>
      </c>
      <c r="E16" s="5" t="inlineStr"/>
      <c r="F16" s="5" t="inlineStr"/>
      <c r="G16" s="28" t="inlineStr">
        <is>
          <t>极高</t>
        </is>
      </c>
      <c r="H16" s="8" t="n">
        <v>35</v>
      </c>
      <c r="I16" s="6" t="inlineStr">
        <is>
          <t>P1</t>
        </is>
      </c>
      <c r="J16" s="5" t="inlineStr"/>
    </row>
    <row r="17" ht="48" customHeight="1">
      <c r="A17" s="5" t="inlineStr">
        <is>
          <t>D3. 风控引擎</t>
        </is>
      </c>
      <c r="B17" s="3" t="inlineStr">
        <is>
          <t>F04-10</t>
        </is>
      </c>
      <c r="C17" s="4" t="inlineStr">
        <is>
          <t>VaR模型</t>
        </is>
      </c>
      <c r="D17" s="5" t="inlineStr">
        <is>
          <t>参数法/历史模拟法/蒙特卡洛三模式，Expected Shortfall (ES)，回测与例外检验</t>
        </is>
      </c>
      <c r="E17" s="5" t="inlineStr"/>
      <c r="F17" s="5" t="inlineStr"/>
      <c r="G17" s="28" t="inlineStr">
        <is>
          <t>极高</t>
        </is>
      </c>
      <c r="H17" s="8" t="n">
        <v>50</v>
      </c>
      <c r="I17" s="6" t="inlineStr">
        <is>
          <t>P1</t>
        </is>
      </c>
      <c r="J17" s="5" t="inlineStr"/>
    </row>
    <row r="18" ht="48" customHeight="1">
      <c r="A18" s="5" t="inlineStr">
        <is>
          <t>D3. 风控引擎</t>
        </is>
      </c>
      <c r="B18" s="3" t="inlineStr">
        <is>
          <t>F04-11</t>
        </is>
      </c>
      <c r="C18" s="4" t="inlineStr">
        <is>
          <t>压力测试与情景分析</t>
        </is>
      </c>
      <c r="D18" s="5" t="inlineStr">
        <is>
          <t>内置历史情景（GFC/COVID-19/利率冲击），假设情景（曲线扭转/利差走阔），反向压力测试</t>
        </is>
      </c>
      <c r="E18" s="5" t="inlineStr"/>
      <c r="F18" s="5" t="inlineStr"/>
      <c r="G18" s="41" t="inlineStr">
        <is>
          <t>高</t>
        </is>
      </c>
      <c r="H18" s="8" t="n">
        <v>35</v>
      </c>
      <c r="I18" s="6" t="inlineStr">
        <is>
          <t>P1</t>
        </is>
      </c>
      <c r="J18" s="5" t="inlineStr"/>
    </row>
    <row r="19" ht="48" customHeight="1">
      <c r="A19" s="5" t="inlineStr">
        <is>
          <t>D3. 风控引擎</t>
        </is>
      </c>
      <c r="B19" s="3" t="inlineStr">
        <is>
          <t>F04-12</t>
        </is>
      </c>
      <c r="C19" s="4" t="inlineStr">
        <is>
          <t>估值与盈亏分解</t>
        </is>
      </c>
      <c r="D19" s="5" t="inlineStr">
        <is>
          <t>Carry &amp; Roll-down，曲线效应，信用利差贡献，择券贡献，基于因子的盈亏多维分解</t>
        </is>
      </c>
      <c r="E19" s="5" t="inlineStr"/>
      <c r="F19" s="5" t="inlineStr"/>
      <c r="G19" s="41" t="inlineStr">
        <is>
          <t>高</t>
        </is>
      </c>
      <c r="H19" s="8" t="n">
        <v>30</v>
      </c>
      <c r="I19" s="6" t="inlineStr">
        <is>
          <t>P1</t>
        </is>
      </c>
      <c r="J19" s="5" t="inlineStr"/>
    </row>
    <row r="20" ht="18" customHeight="1">
      <c r="A20" s="43" t="inlineStr">
        <is>
          <t>D4. 投后风险分析</t>
        </is>
      </c>
    </row>
    <row r="21" ht="48" customHeight="1">
      <c r="A21" s="5" t="inlineStr">
        <is>
          <t>D4. 投后风险分析</t>
        </is>
      </c>
      <c r="B21" s="3" t="inlineStr">
        <is>
          <t>F04-13</t>
        </is>
      </c>
      <c r="C21" s="4" t="inlineStr">
        <is>
          <t>历史风险回溯</t>
        </is>
      </c>
      <c r="D21" s="5" t="inlineStr">
        <is>
          <t>历史VaR计算回放，压力测试结果归档，风险趋势分析，限额例外统计，VaR回测报告</t>
        </is>
      </c>
      <c r="E21" s="5" t="inlineStr"/>
      <c r="F21" s="5" t="inlineStr"/>
      <c r="G21" s="42" t="inlineStr">
        <is>
          <t>中</t>
        </is>
      </c>
      <c r="H21" s="8" t="n">
        <v>20</v>
      </c>
      <c r="I21" s="6" t="inlineStr">
        <is>
          <t>P1</t>
        </is>
      </c>
      <c r="J21" s="5" t="inlineStr"/>
    </row>
    <row r="22" ht="48" customHeight="1">
      <c r="A22" s="5" t="inlineStr">
        <is>
          <t>D4. 投后风险分析</t>
        </is>
      </c>
      <c r="B22" s="3" t="inlineStr">
        <is>
          <t>F04-14</t>
        </is>
      </c>
      <c r="C22" s="4" t="inlineStr">
        <is>
          <t>绩效归因与风险计量</t>
        </is>
      </c>
      <c r="D22" s="5" t="inlineStr">
        <is>
          <t>收益率曲线效应，信用利差分解，行业配置效应，个券择券，Carry &amp; Roll-down贡献</t>
        </is>
      </c>
      <c r="E22" s="5" t="inlineStr"/>
      <c r="F22" s="5" t="inlineStr"/>
      <c r="G22" s="41" t="inlineStr">
        <is>
          <t>高</t>
        </is>
      </c>
      <c r="H22" s="8" t="n">
        <v>30</v>
      </c>
      <c r="I22" s="6" t="inlineStr">
        <is>
          <t>P1</t>
        </is>
      </c>
      <c r="J22" s="5" t="inlineStr"/>
    </row>
    <row r="23" ht="48" customHeight="1">
      <c r="A23" s="5" t="inlineStr">
        <is>
          <t>D4. 投后风险分析</t>
        </is>
      </c>
      <c r="B23" s="3" t="inlineStr">
        <is>
          <t>F04-15</t>
        </is>
      </c>
      <c r="C23" s="4" t="inlineStr">
        <is>
          <t>监管报表与风控日报</t>
        </is>
      </c>
      <c r="D23" s="5" t="inlineStr">
        <is>
          <t>日/周/月风险报告自动生成，监管资本计算，Basel III/FRTB报送，压力测试摘要，风险归因仪表板</t>
        </is>
      </c>
      <c r="E23" s="5" t="inlineStr"/>
      <c r="F23" s="5" t="inlineStr"/>
      <c r="G23" s="42" t="inlineStr">
        <is>
          <t>中</t>
        </is>
      </c>
      <c r="H23" s="8" t="n">
        <v>20</v>
      </c>
      <c r="I23" s="6" t="inlineStr">
        <is>
          <t>P1</t>
        </is>
      </c>
      <c r="J23" s="5" t="inlineStr"/>
    </row>
    <row r="24" ht="18" customHeight="1">
      <c r="A24" s="29" t="inlineStr">
        <is>
          <t>D5. 风控基础设施</t>
        </is>
      </c>
    </row>
    <row r="25" ht="48" customHeight="1">
      <c r="A25" s="5" t="inlineStr">
        <is>
          <t>D5. 风控基础设施</t>
        </is>
      </c>
      <c r="B25" s="3" t="inlineStr">
        <is>
          <t>F04-16</t>
        </is>
      </c>
      <c r="C25" s="4" t="inlineStr">
        <is>
          <t>数据底座与IBOR集成</t>
        </is>
      </c>
      <c r="D25" s="5" t="inlineStr">
        <is>
          <t>实时持仓追踪（事件溯源架构），全公司持仓聚合，实时数据验证与自动清洗，审计追踪</t>
        </is>
      </c>
      <c r="E25" s="5" t="inlineStr"/>
      <c r="F25" s="5" t="inlineStr"/>
      <c r="G25" s="41" t="inlineStr">
        <is>
          <t>高</t>
        </is>
      </c>
      <c r="H25" s="8" t="n">
        <v>30</v>
      </c>
      <c r="I25" s="6" t="inlineStr">
        <is>
          <t>P1</t>
        </is>
      </c>
      <c r="J25" s="5" t="inlineStr"/>
    </row>
    <row r="26" ht="48" customHeight="1">
      <c r="A26" s="5" t="inlineStr">
        <is>
          <t>D5. 风控基础设施</t>
        </is>
      </c>
      <c r="B26" s="3" t="inlineStr">
        <is>
          <t>F04-17</t>
        </is>
      </c>
      <c r="C26" s="4" t="inlineStr">
        <is>
          <t>收益率曲线与波动率曲面</t>
        </is>
      </c>
      <c r="D26" s="5" t="inlineStr">
        <is>
          <t>利率曲线构建（多方法），波动率曲面，信用利差曲线，红利曲线，全公司一致性保障</t>
        </is>
      </c>
      <c r="E26" s="5" t="inlineStr"/>
      <c r="F26" s="5" t="inlineStr"/>
      <c r="G26" s="41" t="inlineStr">
        <is>
          <t>高</t>
        </is>
      </c>
      <c r="H26" s="8" t="n">
        <v>30</v>
      </c>
      <c r="I26" s="6" t="inlineStr">
        <is>
          <t>P1</t>
        </is>
      </c>
      <c r="J26" s="5" t="inlineStr"/>
    </row>
    <row r="27" ht="48" customHeight="1">
      <c r="A27" s="5" t="inlineStr">
        <is>
          <t>D5. 风控基础设施</t>
        </is>
      </c>
      <c r="B27" s="3" t="inlineStr">
        <is>
          <t>F04-18</t>
        </is>
      </c>
      <c r="C27" s="4" t="inlineStr">
        <is>
          <t>HPC计算网格</t>
        </is>
      </c>
      <c r="D27" s="5" t="inlineStr">
        <is>
          <t>分布式计算引擎，并行蒙特卡洛，压力测试网格调度，弹性扩容，p99计算延迟&lt;5s</t>
        </is>
      </c>
      <c r="E27" s="5" t="inlineStr"/>
      <c r="F27" s="5" t="inlineStr"/>
      <c r="G27" s="28" t="inlineStr">
        <is>
          <t>极高</t>
        </is>
      </c>
      <c r="H27" s="8" t="n">
        <v>40</v>
      </c>
      <c r="I27" s="6" t="inlineStr">
        <is>
          <t>P1</t>
        </is>
      </c>
      <c r="J27" s="5" t="inlineStr"/>
    </row>
    <row r="28" ht="48" customHeight="1">
      <c r="A28" s="5" t="inlineStr">
        <is>
          <t>D5. 风控基础设施</t>
        </is>
      </c>
      <c r="B28" s="3" t="inlineStr">
        <is>
          <t>F04-19</t>
        </is>
      </c>
      <c r="C28" s="4" t="inlineStr">
        <is>
          <t>AI风险预警</t>
        </is>
      </c>
      <c r="D28" s="5" t="inlineStr">
        <is>
          <t>异常检测（ML模型），预测性分析，模式识别，智能告警，新业务合规风险预分析</t>
        </is>
      </c>
      <c r="E28" s="5" t="inlineStr"/>
      <c r="F28" s="5" t="inlineStr"/>
      <c r="G28" s="41" t="inlineStr">
        <is>
          <t>高</t>
        </is>
      </c>
      <c r="H28" s="8" t="n">
        <v>30</v>
      </c>
      <c r="I28" s="6" t="inlineStr">
        <is>
          <t>P1</t>
        </is>
      </c>
      <c r="J28" s="5" t="inlineStr"/>
    </row>
    <row r="29">
      <c r="A29" s="40" t="inlineStr">
        <is>
          <t>合计 19项功能  |  P1: 19项  |  P2: 0项</t>
        </is>
      </c>
      <c r="H29" s="20">
        <f>SUM(H5:H28)</f>
        <v/>
      </c>
      <c r="I29" s="34" t="inlineStr"/>
      <c r="J29" s="34" t="inlineStr"/>
    </row>
  </sheetData>
  <mergeCells count="9">
    <mergeCell ref="A1:J1"/>
    <mergeCell ref="A5:J5"/>
    <mergeCell ref="A14:J14"/>
    <mergeCell ref="A9:J9"/>
    <mergeCell ref="A3:J3"/>
    <mergeCell ref="A20:J20"/>
    <mergeCell ref="A24:J24"/>
    <mergeCell ref="A2:J2"/>
    <mergeCell ref="A29:G29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系统详情：异常交易风控  |  Abnormal Trade Monitor</t>
        </is>
      </c>
    </row>
    <row r="2" ht="36" customHeight="1">
      <c r="A2" s="39" t="inlineStr">
        <is>
          <t>战略定位：监管驱动，AI差异化（LLM+RAG+Agent+MCP），快速商业化；对应PPT Slide 50   |   来源：Slide 50</t>
        </is>
      </c>
    </row>
    <row r="3" ht="28" customHeight="1">
      <c r="A3" s="40" t="inlineStr">
        <is>
          <t>模块：异常交易风控  (Abnormal Trade Monitor)  |  优先级：P1  |  竞品：无主导者  |  华锐基础：ARC+AI规则引擎  |  工期：8月  团队：8人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D1. AI智能引擎</t>
        </is>
      </c>
    </row>
    <row r="6" ht="48" customHeight="1">
      <c r="A6" s="5" t="inlineStr">
        <is>
          <t>D1. AI智能引擎</t>
        </is>
      </c>
      <c r="B6" s="3" t="inlineStr">
        <is>
          <t>F05-01</t>
        </is>
      </c>
      <c r="C6" s="4" t="inlineStr">
        <is>
          <t>LLM大语言模型应用</t>
        </is>
      </c>
      <c r="D6" s="5" t="inlineStr">
        <is>
          <t>客户意图识别，自然语言处理交易描述，智能报告自动生成，新规合规解读</t>
        </is>
      </c>
      <c r="E6" s="5" t="inlineStr"/>
      <c r="F6" s="5" t="inlineStr"/>
      <c r="G6" s="28" t="inlineStr">
        <is>
          <t>极高</t>
        </is>
      </c>
      <c r="H6" s="8" t="n">
        <v>40</v>
      </c>
      <c r="I6" s="6" t="inlineStr">
        <is>
          <t>P1</t>
        </is>
      </c>
      <c r="J6" s="5" t="inlineStr"/>
    </row>
    <row r="7" ht="48" customHeight="1">
      <c r="A7" s="5" t="inlineStr">
        <is>
          <t>D1. AI智能引擎</t>
        </is>
      </c>
      <c r="B7" s="3" t="inlineStr">
        <is>
          <t>F05-02</t>
        </is>
      </c>
      <c r="C7" s="4" t="inlineStr">
        <is>
          <t>RAG检索增强生成</t>
        </is>
      </c>
      <c r="D7" s="5" t="inlineStr">
        <is>
          <t>监管规则知识库构建，新规则智能固化，合规智能问答，上下文理解与规则推理</t>
        </is>
      </c>
      <c r="E7" s="5" t="inlineStr"/>
      <c r="F7" s="5" t="inlineStr"/>
      <c r="G7" s="41" t="inlineStr">
        <is>
          <t>高</t>
        </is>
      </c>
      <c r="H7" s="8" t="n">
        <v>30</v>
      </c>
      <c r="I7" s="6" t="inlineStr">
        <is>
          <t>P1</t>
        </is>
      </c>
      <c r="J7" s="5" t="inlineStr"/>
    </row>
    <row r="8" ht="48" customHeight="1">
      <c r="A8" s="5" t="inlineStr">
        <is>
          <t>D1. AI智能引擎</t>
        </is>
      </c>
      <c r="B8" s="3" t="inlineStr">
        <is>
          <t>F05-03</t>
        </is>
      </c>
      <c r="C8" s="4" t="inlineStr">
        <is>
          <t>Agent智能体</t>
        </is>
      </c>
      <c r="D8" s="5" t="inlineStr">
        <is>
          <t>异常处置任务自动化，决策支持工作流，多步骤异常核查流程优化，自动推送处置建议</t>
        </is>
      </c>
      <c r="E8" s="5" t="inlineStr"/>
      <c r="F8" s="5" t="inlineStr"/>
      <c r="G8" s="41" t="inlineStr">
        <is>
          <t>高</t>
        </is>
      </c>
      <c r="H8" s="8" t="n">
        <v>30</v>
      </c>
      <c r="I8" s="6" t="inlineStr">
        <is>
          <t>P1</t>
        </is>
      </c>
      <c r="J8" s="5" t="inlineStr"/>
    </row>
    <row r="9" ht="48" customHeight="1">
      <c r="A9" s="5" t="inlineStr">
        <is>
          <t>D1. AI智能引擎</t>
        </is>
      </c>
      <c r="B9" s="3" t="inlineStr">
        <is>
          <t>F05-04</t>
        </is>
      </c>
      <c r="C9" s="4" t="inlineStr">
        <is>
          <t>MCP外部服务集成</t>
        </is>
      </c>
      <c r="D9" s="5" t="inlineStr">
        <is>
          <t>外部数据源调用接口，固化规则调用标准协议，与行情/持仓/交易系统数据对接</t>
        </is>
      </c>
      <c r="E9" s="5" t="inlineStr"/>
      <c r="F9" s="5" t="inlineStr"/>
      <c r="G9" s="42" t="inlineStr">
        <is>
          <t>中</t>
        </is>
      </c>
      <c r="H9" s="8" t="n">
        <v>20</v>
      </c>
      <c r="I9" s="6" t="inlineStr">
        <is>
          <t>P1</t>
        </is>
      </c>
      <c r="J9" s="5" t="inlineStr"/>
    </row>
    <row r="10" ht="18" customHeight="1">
      <c r="A10" s="40" t="inlineStr">
        <is>
          <t>D2. 异常识别引擎</t>
        </is>
      </c>
    </row>
    <row r="11" ht="48" customHeight="1">
      <c r="A11" s="5" t="inlineStr">
        <is>
          <t>D2. 异常识别引擎</t>
        </is>
      </c>
      <c r="B11" s="3" t="inlineStr">
        <is>
          <t>F05-05</t>
        </is>
      </c>
      <c r="C11" s="4" t="inlineStr">
        <is>
          <t>代持与反向交易识别</t>
        </is>
      </c>
      <c r="D11" s="5" t="inlineStr">
        <is>
          <t>代持相关交易检测，同券同额反向识别，多日反向低频交易模式识别</t>
        </is>
      </c>
      <c r="E11" s="5" t="inlineStr"/>
      <c r="F11" s="5" t="inlineStr"/>
      <c r="G11" s="41" t="inlineStr">
        <is>
          <t>高</t>
        </is>
      </c>
      <c r="H11" s="8" t="n">
        <v>25</v>
      </c>
      <c r="I11" s="6" t="inlineStr">
        <is>
          <t>P1</t>
        </is>
      </c>
      <c r="J11" s="5" t="inlineStr"/>
    </row>
    <row r="12" ht="48" customHeight="1">
      <c r="A12" s="5" t="inlineStr">
        <is>
          <t>D2. 异常识别引擎</t>
        </is>
      </c>
      <c r="B12" s="3" t="inlineStr">
        <is>
          <t>F05-06</t>
        </is>
      </c>
      <c r="C12" s="4" t="inlineStr">
        <is>
          <t>价格行为异常检测</t>
        </is>
      </c>
      <c r="D12" s="5" t="inlineStr">
        <is>
          <t>高买低卖行为识别，信用债价格异常检测，基于历史分位数与实时行情动态偏离度计算</t>
        </is>
      </c>
      <c r="E12" s="5" t="inlineStr"/>
      <c r="F12" s="5" t="inlineStr"/>
      <c r="G12" s="41" t="inlineStr">
        <is>
          <t>高</t>
        </is>
      </c>
      <c r="H12" s="8" t="n">
        <v>25</v>
      </c>
      <c r="I12" s="6" t="inlineStr">
        <is>
          <t>P1</t>
        </is>
      </c>
      <c r="J12" s="5" t="inlineStr"/>
    </row>
    <row r="13" ht="48" customHeight="1">
      <c r="A13" s="5" t="inlineStr">
        <is>
          <t>D2. 异常识别引擎</t>
        </is>
      </c>
      <c r="B13" s="3" t="inlineStr">
        <is>
          <t>F05-07</t>
        </is>
      </c>
      <c r="C13" s="4" t="inlineStr">
        <is>
          <t>交易对手异常监控</t>
        </is>
      </c>
      <c r="D13" s="5" t="inlineStr">
        <is>
          <t>同一交易对手频繁交易预警，多次修改交易对手行为识别，持仓结构异常检测</t>
        </is>
      </c>
      <c r="E13" s="5" t="inlineStr"/>
      <c r="F13" s="5" t="inlineStr"/>
      <c r="G13" s="41" t="inlineStr">
        <is>
          <t>高</t>
        </is>
      </c>
      <c r="H13" s="8" t="n">
        <v>20</v>
      </c>
      <c r="I13" s="6" t="inlineStr">
        <is>
          <t>P1</t>
        </is>
      </c>
      <c r="J13" s="5" t="inlineStr"/>
    </row>
    <row r="14" ht="48" customHeight="1">
      <c r="A14" s="5" t="inlineStr">
        <is>
          <t>D2. 异常识别引擎</t>
        </is>
      </c>
      <c r="B14" s="3" t="inlineStr">
        <is>
          <t>F05-08</t>
        </is>
      </c>
      <c r="C14" s="4" t="inlineStr">
        <is>
          <t>交易量异常检测</t>
        </is>
      </c>
      <c r="D14" s="5" t="inlineStr">
        <is>
          <t>交易量统计异常识别，集中度异常告警，与历史基准对比的量级偏离检测</t>
        </is>
      </c>
      <c r="E14" s="5" t="inlineStr"/>
      <c r="F14" s="5" t="inlineStr"/>
      <c r="G14" s="42" t="inlineStr">
        <is>
          <t>中</t>
        </is>
      </c>
      <c r="H14" s="8" t="n">
        <v>15</v>
      </c>
      <c r="I14" s="6" t="inlineStr">
        <is>
          <t>P1</t>
        </is>
      </c>
      <c r="J14" s="5" t="inlineStr"/>
    </row>
    <row r="15" ht="48" customHeight="1">
      <c r="A15" s="5" t="inlineStr">
        <is>
          <t>D2. 异常识别引擎</t>
        </is>
      </c>
      <c r="B15" s="3" t="inlineStr">
        <is>
          <t>F05-09</t>
        </is>
      </c>
      <c r="C15" s="4" t="inlineStr">
        <is>
          <t>动态规则管理</t>
        </is>
      </c>
      <c r="D15" s="5" t="inlineStr">
        <is>
          <t>异常模式智能探索与规则固化，No-Code规则配置界面，合规人员自助维护，规则版本管理</t>
        </is>
      </c>
      <c r="E15" s="5" t="inlineStr"/>
      <c r="F15" s="5" t="inlineStr"/>
      <c r="G15" s="42" t="inlineStr">
        <is>
          <t>中</t>
        </is>
      </c>
      <c r="H15" s="8" t="n">
        <v>20</v>
      </c>
      <c r="I15" s="6" t="inlineStr">
        <is>
          <t>P1</t>
        </is>
      </c>
      <c r="J15" s="5" t="inlineStr"/>
    </row>
    <row r="16" ht="18" customHeight="1">
      <c r="A16" s="43" t="inlineStr">
        <is>
          <t>D3. 运营与报告</t>
        </is>
      </c>
    </row>
    <row r="17" ht="48" customHeight="1">
      <c r="A17" s="5" t="inlineStr">
        <is>
          <t>D3. 运营与报告</t>
        </is>
      </c>
      <c r="B17" s="3" t="inlineStr">
        <is>
          <t>F05-10</t>
        </is>
      </c>
      <c r="C17" s="4" t="inlineStr">
        <is>
          <t>异常交易定位</t>
        </is>
      </c>
      <c r="D17" s="5" t="inlineStr">
        <is>
          <t>按时间范围快速查找历史异常交易，标记异常类型，可视化展示异常分布与趋势</t>
        </is>
      </c>
      <c r="E17" s="5" t="inlineStr"/>
      <c r="F17" s="5" t="inlineStr"/>
      <c r="G17" s="42" t="inlineStr">
        <is>
          <t>中</t>
        </is>
      </c>
      <c r="H17" s="8" t="n">
        <v>15</v>
      </c>
      <c r="I17" s="6" t="inlineStr">
        <is>
          <t>P1</t>
        </is>
      </c>
      <c r="J17" s="5" t="inlineStr"/>
    </row>
    <row r="18" ht="48" customHeight="1">
      <c r="A18" s="5" t="inlineStr">
        <is>
          <t>D3. 运营与报告</t>
        </is>
      </c>
      <c r="B18" s="3" t="inlineStr">
        <is>
          <t>F05-11</t>
        </is>
      </c>
      <c r="C18" s="4" t="inlineStr">
        <is>
          <t>数据上传校验</t>
        </is>
      </c>
      <c r="D18" s="5" t="inlineStr">
        <is>
          <t>支持用户上传交易数据文件，瞬时完成异常交易校验并输出校验结果报告</t>
        </is>
      </c>
      <c r="E18" s="5" t="inlineStr"/>
      <c r="F18" s="5" t="inlineStr"/>
      <c r="G18" s="42" t="inlineStr">
        <is>
          <t>中</t>
        </is>
      </c>
      <c r="H18" s="8" t="n">
        <v>15</v>
      </c>
      <c r="I18" s="6" t="inlineStr">
        <is>
          <t>P1</t>
        </is>
      </c>
      <c r="J18" s="5" t="inlineStr"/>
    </row>
    <row r="19" ht="48" customHeight="1">
      <c r="A19" s="5" t="inlineStr">
        <is>
          <t>D3. 运营与报告</t>
        </is>
      </c>
      <c r="B19" s="3" t="inlineStr">
        <is>
          <t>F05-12</t>
        </is>
      </c>
      <c r="C19" s="4" t="inlineStr">
        <is>
          <t>智能报告生成</t>
        </is>
      </c>
      <c r="D19" s="5" t="inlineStr">
        <is>
          <t>模板自定义与场景数据一键应用，监管报送格式（证监会/人行），新业务过会合规分析报告</t>
        </is>
      </c>
      <c r="E19" s="5" t="inlineStr"/>
      <c r="F19" s="5" t="inlineStr"/>
      <c r="G19" s="42" t="inlineStr">
        <is>
          <t>中</t>
        </is>
      </c>
      <c r="H19" s="8" t="n">
        <v>20</v>
      </c>
      <c r="I19" s="6" t="inlineStr">
        <is>
          <t>P1</t>
        </is>
      </c>
      <c r="J19" s="5" t="inlineStr"/>
    </row>
    <row r="20">
      <c r="A20" s="40" t="inlineStr">
        <is>
          <t>合计 12项功能  |  P1: 12项  |  P2: 0项</t>
        </is>
      </c>
      <c r="H20" s="20">
        <f>SUM(H5:H19)</f>
        <v/>
      </c>
      <c r="I20" s="34" t="inlineStr"/>
      <c r="J20" s="34" t="inlineStr"/>
    </row>
  </sheetData>
  <mergeCells count="7">
    <mergeCell ref="A1:J1"/>
    <mergeCell ref="A5:J5"/>
    <mergeCell ref="A16:J16"/>
    <mergeCell ref="A3:J3"/>
    <mergeCell ref="A20:G20"/>
    <mergeCell ref="A2:J2"/>
    <mergeCell ref="A10:J10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系统详情：事前风控/合规  |  Pre-trade Risk &amp; Compliance</t>
        </is>
      </c>
    </row>
    <row r="2" ht="36" customHeight="1">
      <c r="A2" s="39" t="inlineStr">
        <is>
          <t>战略定位：嵌入交易前拦截，三端架构（风控/用户/管理），AI聊天合规监控为核心差异化；对应PPT Slide 51   |   来源：Slide 51</t>
        </is>
      </c>
    </row>
    <row r="3" ht="28" customHeight="1">
      <c r="A3" s="40" t="inlineStr">
        <is>
          <t>模块：事前风控/合规  (Pre-trade Risk &amp; Compliance)  |  优先级：P1  |  竞品：恒生/金证  |  华锐基础：ARC合规模块  |  工期：6月  团队：6人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D1. 规则配置（风控端）</t>
        </is>
      </c>
    </row>
    <row r="6" ht="48" customHeight="1">
      <c r="A6" s="5" t="inlineStr">
        <is>
          <t>D1. 规则配置（风控端）</t>
        </is>
      </c>
      <c r="B6" s="3" t="inlineStr">
        <is>
          <t>F06-01</t>
        </is>
      </c>
      <c r="C6" s="4" t="inlineStr">
        <is>
          <t>风控规则配置</t>
        </is>
      </c>
      <c r="D6" s="5" t="inlineStr">
        <is>
          <t>风控人员在页面配置事前风控条款，支持按需调整，规则版本管理，内置监管规则库（1000+条）</t>
        </is>
      </c>
      <c r="E6" s="5" t="inlineStr"/>
      <c r="F6" s="5" t="inlineStr"/>
      <c r="G6" s="41" t="inlineStr">
        <is>
          <t>高</t>
        </is>
      </c>
      <c r="H6" s="8" t="n">
        <v>30</v>
      </c>
      <c r="I6" s="6" t="inlineStr">
        <is>
          <t>P1</t>
        </is>
      </c>
      <c r="J6" s="5" t="inlineStr"/>
    </row>
    <row r="7" ht="48" customHeight="1">
      <c r="A7" s="5" t="inlineStr">
        <is>
          <t>D1. 规则配置（风控端）</t>
        </is>
      </c>
      <c r="B7" s="3" t="inlineStr">
        <is>
          <t>F06-02</t>
        </is>
      </c>
      <c r="C7" s="4" t="inlineStr">
        <is>
          <t>多维度限额配置</t>
        </is>
      </c>
      <c r="D7" s="5" t="inlineStr">
        <is>
          <t>交易对手/交易员/券三维度限额设置，集中度/净敞口/利率敏感度/单笔名义多类型限额</t>
        </is>
      </c>
      <c r="E7" s="5" t="inlineStr"/>
      <c r="F7" s="5" t="inlineStr"/>
      <c r="G7" s="41" t="inlineStr">
        <is>
          <t>高</t>
        </is>
      </c>
      <c r="H7" s="8" t="n">
        <v>25</v>
      </c>
      <c r="I7" s="6" t="inlineStr">
        <is>
          <t>P1</t>
        </is>
      </c>
      <c r="J7" s="5" t="inlineStr"/>
    </row>
    <row r="8" ht="48" customHeight="1">
      <c r="A8" s="5" t="inlineStr">
        <is>
          <t>D1. 规则配置（风控端）</t>
        </is>
      </c>
      <c r="B8" s="3" t="inlineStr">
        <is>
          <t>F06-03</t>
        </is>
      </c>
      <c r="C8" s="4" t="inlineStr">
        <is>
          <t>白黑名单管理</t>
        </is>
      </c>
      <c r="D8" s="5" t="inlineStr">
        <is>
          <t>证券/交易对手监管限制名单实时同步，支持手工维护，拦截违规交易</t>
        </is>
      </c>
      <c r="E8" s="5" t="inlineStr"/>
      <c r="F8" s="5" t="inlineStr"/>
      <c r="G8" s="42" t="inlineStr">
        <is>
          <t>中</t>
        </is>
      </c>
      <c r="H8" s="8" t="n">
        <v>15</v>
      </c>
      <c r="I8" s="6" t="inlineStr">
        <is>
          <t>P1</t>
        </is>
      </c>
      <c r="J8" s="5" t="inlineStr"/>
    </row>
    <row r="9" ht="18" customHeight="1">
      <c r="A9" s="40" t="inlineStr">
        <is>
          <t>D2. 交易前拦截（用户端）</t>
        </is>
      </c>
    </row>
    <row r="10" ht="48" customHeight="1">
      <c r="A10" s="5" t="inlineStr">
        <is>
          <t>D2. 交易前拦截（用户端）</t>
        </is>
      </c>
      <c r="B10" s="3" t="inlineStr">
        <is>
          <t>F06-04</t>
        </is>
      </c>
      <c r="C10" s="4" t="inlineStr">
        <is>
          <t>实时事前风控拦截</t>
        </is>
      </c>
      <c r="D10" s="5" t="inlineStr">
        <is>
          <t>交易录入时同步三维度校验（交易对手/交易员/券），不通过即时拦截并告知原因，支持发衡泰前校验</t>
        </is>
      </c>
      <c r="E10" s="5" t="inlineStr"/>
      <c r="F10" s="5" t="inlineStr"/>
      <c r="G10" s="28" t="inlineStr">
        <is>
          <t>极高</t>
        </is>
      </c>
      <c r="H10" s="8" t="n">
        <v>25</v>
      </c>
      <c r="I10" s="6" t="inlineStr">
        <is>
          <t>P1</t>
        </is>
      </c>
      <c r="J10" s="5" t="inlineStr"/>
    </row>
    <row r="11" ht="48" customHeight="1">
      <c r="A11" s="5" t="inlineStr">
        <is>
          <t>D2. 交易前拦截（用户端）</t>
        </is>
      </c>
      <c r="B11" s="3" t="inlineStr">
        <is>
          <t>F06-05</t>
        </is>
      </c>
      <c r="C11" s="4" t="inlineStr">
        <is>
          <t>异常报备工作流</t>
        </is>
      </c>
      <c r="D11" s="5" t="inlineStr">
        <is>
          <t>触发异常条款后交易界面即时弹出提示，用户填写异常报备信息后方可提交，确保合规留痕</t>
        </is>
      </c>
      <c r="E11" s="5" t="inlineStr"/>
      <c r="F11" s="5" t="inlineStr"/>
      <c r="G11" s="42" t="inlineStr">
        <is>
          <t>中</t>
        </is>
      </c>
      <c r="H11" s="8" t="n">
        <v>20</v>
      </c>
      <c r="I11" s="6" t="inlineStr">
        <is>
          <t>P1</t>
        </is>
      </c>
      <c r="J11" s="5" t="inlineStr"/>
    </row>
    <row r="12" ht="48" customHeight="1">
      <c r="A12" s="5" t="inlineStr">
        <is>
          <t>D2. 交易前拦截（用户端）</t>
        </is>
      </c>
      <c r="B12" s="3" t="inlineStr">
        <is>
          <t>F06-06</t>
        </is>
      </c>
      <c r="C12" s="4" t="inlineStr">
        <is>
          <t>AI聊天合规监控</t>
        </is>
      </c>
      <c r="D12" s="5" t="inlineStr">
        <is>
          <t>AI自动抓取所有交易对手聊天记录，按客户/券归类并保持时间顺序，实时监控潜在聊天违规并提醒交易员</t>
        </is>
      </c>
      <c r="E12" s="5" t="inlineStr"/>
      <c r="F12" s="5" t="inlineStr"/>
      <c r="G12" s="41" t="inlineStr">
        <is>
          <t>高</t>
        </is>
      </c>
      <c r="H12" s="8" t="n">
        <v>30</v>
      </c>
      <c r="I12" s="6" t="inlineStr">
        <is>
          <t>P1</t>
        </is>
      </c>
      <c r="J12" s="5" t="inlineStr"/>
    </row>
    <row r="13" ht="48" customHeight="1">
      <c r="A13" s="5" t="inlineStr">
        <is>
          <t>D2. 交易前拦截（用户端）</t>
        </is>
      </c>
      <c r="B13" s="3" t="inlineStr">
        <is>
          <t>F06-07</t>
        </is>
      </c>
      <c r="C13" s="4" t="inlineStr">
        <is>
          <t>AI交易要素提取</t>
        </is>
      </c>
      <c r="D13" s="5" t="inlineStr">
        <is>
          <t>询价意向达成后AI自动从聊天记录生成交易要素（债券/数量/价格/对手方），减少手工录入错误</t>
        </is>
      </c>
      <c r="E13" s="5" t="inlineStr"/>
      <c r="F13" s="5" t="inlineStr"/>
      <c r="G13" s="41" t="inlineStr">
        <is>
          <t>高</t>
        </is>
      </c>
      <c r="H13" s="8" t="n">
        <v>25</v>
      </c>
      <c r="I13" s="6" t="inlineStr">
        <is>
          <t>P1</t>
        </is>
      </c>
      <c r="J13" s="5" t="inlineStr"/>
    </row>
    <row r="14" ht="18" customHeight="1">
      <c r="A14" s="43" t="inlineStr">
        <is>
          <t>D3. 统计与审计（管理端）</t>
        </is>
      </c>
    </row>
    <row r="15" ht="48" customHeight="1">
      <c r="A15" s="5" t="inlineStr">
        <is>
          <t>D3. 统计与审计（管理端）</t>
        </is>
      </c>
      <c r="B15" s="3" t="inlineStr">
        <is>
          <t>F06-08</t>
        </is>
      </c>
      <c r="C15" s="4" t="inlineStr">
        <is>
          <t>日内异常统计看板</t>
        </is>
      </c>
      <c r="D15" s="5" t="inlineStr">
        <is>
          <t>实时查看日内异常触发记录及处理情况，全面掌握团队执行进度与风控落实效果</t>
        </is>
      </c>
      <c r="E15" s="5" t="inlineStr"/>
      <c r="F15" s="5" t="inlineStr"/>
      <c r="G15" s="42" t="inlineStr">
        <is>
          <t>中</t>
        </is>
      </c>
      <c r="H15" s="8" t="n">
        <v>15</v>
      </c>
      <c r="I15" s="6" t="inlineStr">
        <is>
          <t>P1</t>
        </is>
      </c>
      <c r="J15" s="5" t="inlineStr"/>
    </row>
    <row r="16" ht="48" customHeight="1">
      <c r="A16" s="5" t="inlineStr">
        <is>
          <t>D3. 统计与审计（管理端）</t>
        </is>
      </c>
      <c r="B16" s="3" t="inlineStr">
        <is>
          <t>F06-09</t>
        </is>
      </c>
      <c r="C16" s="4" t="inlineStr">
        <is>
          <t>合规审批工作流</t>
        </is>
      </c>
      <c r="D16" s="5" t="inlineStr">
        <is>
          <t>超限申请→多级审批→记录全流程，支持移动端审批，审批结果实时推送</t>
        </is>
      </c>
      <c r="E16" s="5" t="inlineStr"/>
      <c r="F16" s="5" t="inlineStr"/>
      <c r="G16" s="42" t="inlineStr">
        <is>
          <t>中</t>
        </is>
      </c>
      <c r="H16" s="8" t="n">
        <v>15</v>
      </c>
      <c r="I16" s="6" t="inlineStr">
        <is>
          <t>P1</t>
        </is>
      </c>
      <c r="J16" s="5" t="inlineStr"/>
    </row>
    <row r="17" ht="48" customHeight="1">
      <c r="A17" s="5" t="inlineStr">
        <is>
          <t>D3. 统计与审计（管理端）</t>
        </is>
      </c>
      <c r="B17" s="3" t="inlineStr">
        <is>
          <t>F06-10</t>
        </is>
      </c>
      <c r="C17" s="4" t="inlineStr">
        <is>
          <t>责任留痕与审计追踪</t>
        </is>
      </c>
      <c r="D17" s="5" t="inlineStr">
        <is>
          <t>所有交易录入、拦截、报备、审批操作全程留痕，可追溯，监管现场检查时一键提取证据包</t>
        </is>
      </c>
      <c r="E17" s="5" t="inlineStr"/>
      <c r="F17" s="5" t="inlineStr"/>
      <c r="G17" s="42" t="inlineStr">
        <is>
          <t>中</t>
        </is>
      </c>
      <c r="H17" s="8" t="n">
        <v>15</v>
      </c>
      <c r="I17" s="6" t="inlineStr">
        <is>
          <t>P1</t>
        </is>
      </c>
      <c r="J17" s="5" t="inlineStr"/>
    </row>
    <row r="18">
      <c r="A18" s="40" t="inlineStr">
        <is>
          <t>合计 10项功能  |  P1: 10项  |  P2: 0项</t>
        </is>
      </c>
      <c r="H18" s="20">
        <f>SUM(H5:H17)</f>
        <v/>
      </c>
      <c r="I18" s="34" t="inlineStr"/>
      <c r="J18" s="34" t="inlineStr"/>
    </row>
  </sheetData>
  <mergeCells count="7">
    <mergeCell ref="A1:J1"/>
    <mergeCell ref="A5:J5"/>
    <mergeCell ref="A14:J14"/>
    <mergeCell ref="A18:G18"/>
    <mergeCell ref="A9:J9"/>
    <mergeCell ref="A3:J3"/>
    <mergeCell ref="A2:J2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系统详情：组合管理+绩效归因  |  Portfolio Mgmt &amp; Perf</t>
        </is>
      </c>
    </row>
    <row r="2" ht="36" customHeight="1">
      <c r="A2" s="39" t="inlineStr">
        <is>
          <t>战略定位：全资产组合管理驾驶舱，十大核心能力：全资产持仓模型/QP优化/Shadow Portfolio/Campisi 2.0固收归因/Brinson归因/因子风险分解+MCTR/Component VaR/敏感度/情景压测/流动性；对应PPT Slide 44 + gy_solution 4.4.1   |   来源：Slide 44   |   数据输入：交易数据 / 头寸数据 / 行情数据 / 估值数据   |   量化底座：定价计算 · 利率曲线 · 因子模型(2200+风险因子)</t>
        </is>
      </c>
    </row>
    <row r="3" ht="28" customHeight="1">
      <c r="A3" s="40" t="inlineStr">
        <is>
          <t>模块：组合管理+绩效归因  (Portfolio Mgmt &amp; Perf)  |  优先级：P1  |  竞品：SimCorp/衡泰  |  华锐基础：M9 PMS模块  |  工期：14月  团队：14人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A. 全资产持仓管理</t>
        </is>
      </c>
    </row>
    <row r="6" ht="48" customHeight="1">
      <c r="A6" s="5" t="inlineStr">
        <is>
          <t>A. 全资产持仓管理</t>
        </is>
      </c>
      <c r="B6" s="3" t="inlineStr">
        <is>
          <t>F07-01</t>
        </is>
      </c>
      <c r="C6" s="4" t="inlineStr">
        <is>
          <t>全资产统一持仓模型</t>
        </is>
      </c>
      <c r="D6" s="5" t="inlineStr">
        <is>
          <t>八类资产（利率债/信用债/权益/基金/黄金/商品/衍生品/非标）实时T+0持仓，多层组合树（公司→部门→策略→子组合→投资经理），穿透式敞口展示（品种/久期/评级/行业/地区分布），真实组合+Shadow Portfolio并行展示</t>
        </is>
      </c>
      <c r="E6" s="5" t="inlineStr">
        <is>
          <t>T+0持仓实时刷新，穿透层级≥5层，数据与IBOR差异&lt;0.01%</t>
        </is>
      </c>
      <c r="F6" s="5" t="inlineStr">
        <is>
          <t>IBOR持仓账薄/AMD行情</t>
        </is>
      </c>
      <c r="G6" s="41" t="inlineStr">
        <is>
          <t>高</t>
        </is>
      </c>
      <c r="H6" s="8" t="n">
        <v>40</v>
      </c>
      <c r="I6" s="6" t="inlineStr">
        <is>
          <t>P1</t>
        </is>
      </c>
      <c r="J6" s="5" t="inlineStr"/>
    </row>
    <row r="7" ht="48" customHeight="1">
      <c r="A7" s="5" t="inlineStr">
        <is>
          <t>A. 全资产持仓管理</t>
        </is>
      </c>
      <c r="B7" s="3" t="inlineStr">
        <is>
          <t>F07-02</t>
        </is>
      </c>
      <c r="C7" s="4" t="inlineStr">
        <is>
          <t>跨资产相关性分析</t>
        </is>
      </c>
      <c r="D7" s="5" t="inlineStr">
        <is>
          <t>全持仓跨资产相关矩阵（股/债/商品/衍生品/基金），多窗口滚动（20/60/252日），压力情景相关性vs历史相关性对比，动态相关性漂移预警，分散化比率(Diversification Ratio)计算，低相关候选资产推荐</t>
        </is>
      </c>
      <c r="E7" s="5" t="inlineStr">
        <is>
          <t>相关矩阵计算&lt;30s（500券组合），动态漂移预警阈值可配</t>
        </is>
      </c>
      <c r="F7" s="5" t="inlineStr">
        <is>
          <t>IBOR头寸/AMD历史行情</t>
        </is>
      </c>
      <c r="G7" s="41" t="inlineStr">
        <is>
          <t>高</t>
        </is>
      </c>
      <c r="H7" s="8" t="n">
        <v>30</v>
      </c>
      <c r="I7" s="6" t="inlineStr">
        <is>
          <t>P1</t>
        </is>
      </c>
      <c r="J7" s="5" t="inlineStr"/>
    </row>
    <row r="8" ht="48" customHeight="1">
      <c r="A8" s="5" t="inlineStr">
        <is>
          <t>A. 全资产持仓管理</t>
        </is>
      </c>
      <c r="B8" s="3" t="inlineStr">
        <is>
          <t>F07-03</t>
        </is>
      </c>
      <c r="C8" s="4" t="inlineStr">
        <is>
          <t>相对价值分析</t>
        </is>
      </c>
      <c r="D8" s="5" t="inlineStr">
        <is>
          <t>利差/Z-spread/OAS相对价值计算，历史分位数定位（覆盖5年），跨品种套利信号识别，债券横截面信号挖掘（利差/久期偏差），时序均值回归分析</t>
        </is>
      </c>
      <c r="E8" s="5" t="inlineStr">
        <is>
          <t>OAS计算误差&lt;1bps，历史分位数覆盖5年，横截面信号与实际收益相关性&gt;0.3</t>
        </is>
      </c>
      <c r="F8" s="5" t="inlineStr">
        <is>
          <t>定价平台/AMD行情</t>
        </is>
      </c>
      <c r="G8" s="41" t="inlineStr">
        <is>
          <t>高</t>
        </is>
      </c>
      <c r="H8" s="8" t="n">
        <v>30</v>
      </c>
      <c r="I8" s="6" t="inlineStr">
        <is>
          <t>P1</t>
        </is>
      </c>
      <c r="J8" s="5" t="inlineStr"/>
    </row>
    <row r="9" ht="18" customHeight="1">
      <c r="A9" s="40" t="inlineStr">
        <is>
          <t>B. 组合优化与再平衡</t>
        </is>
      </c>
    </row>
    <row r="10" ht="48" customHeight="1">
      <c r="A10" s="5" t="inlineStr">
        <is>
          <t>B. 组合优化与再平衡</t>
        </is>
      </c>
      <c r="B10" s="3" t="inlineStr">
        <is>
          <t>F07-04</t>
        </is>
      </c>
      <c r="C10" s="4" t="inlineStr">
        <is>
          <t>QP智能再平衡引擎</t>
        </is>
      </c>
      <c r="D10" s="5" t="inlineStr">
        <is>
          <t>二次规划多目标优化（最小化跟踪误差+交易摩擦+融资成本+IFRS9波动），500+约束（合规/风险预算/流动性/IFRS9），2000+持仓毫秒级求解，支持整数规划（面值/手数取整），多期优化（含到期券），三种触发（定时/事件/手动），一键生成交易指令</t>
        </is>
      </c>
      <c r="E10" s="5" t="inlineStr">
        <is>
          <t>QP求解2000持仓&lt;200ms，约束满足率100%，调仓前后TE对比即时输出</t>
        </is>
      </c>
      <c r="F10" s="5" t="inlineStr">
        <is>
          <t>事前风控/合规/IBOR/现券系统/定价平台</t>
        </is>
      </c>
      <c r="G10" s="41" t="inlineStr">
        <is>
          <t>高</t>
        </is>
      </c>
      <c r="H10" s="8" t="n">
        <v>40</v>
      </c>
      <c r="I10" s="6" t="inlineStr">
        <is>
          <t>P1</t>
        </is>
      </c>
      <c r="J10" s="5" t="inlineStr"/>
    </row>
    <row r="11" ht="48" customHeight="1">
      <c r="A11" s="5" t="inlineStr">
        <is>
          <t>B. 组合优化与再平衡</t>
        </is>
      </c>
      <c r="B11" s="3" t="inlineStr">
        <is>
          <t>F07-05</t>
        </is>
      </c>
      <c r="C11" s="4" t="inlineStr">
        <is>
          <t>Shadow Portfolio虚拟试算</t>
        </is>
      </c>
      <c r="D11" s="5" t="inlineStr">
        <is>
          <t>100+虚拟组合与真实组合并行运行，多维试算（增减仓/换仓/加杠杆/新资产类别），即时显示试算后风险指标/归因/相关性/预期收益，真实vs虚拟所有指标差异对比视图，冲击成本预估</t>
        </is>
      </c>
      <c r="E11" s="5" t="inlineStr">
        <is>
          <t>虚拟组合模拟与真实执行偏差&lt;0.3%，秒级响应</t>
        </is>
      </c>
      <c r="F11" s="5" t="inlineStr">
        <is>
          <t>IBOR/定价平台/现券交易系统</t>
        </is>
      </c>
      <c r="G11" s="41" t="inlineStr">
        <is>
          <t>高</t>
        </is>
      </c>
      <c r="H11" s="8" t="n">
        <v>30</v>
      </c>
      <c r="I11" s="6" t="inlineStr">
        <is>
          <t>P1</t>
        </is>
      </c>
      <c r="J11" s="5" t="inlineStr"/>
    </row>
    <row r="12" ht="48" customHeight="1">
      <c r="A12" s="11" t="inlineStr">
        <is>
          <t>B. 组合优化与再平衡</t>
        </is>
      </c>
      <c r="B12" s="10" t="inlineStr">
        <is>
          <t>F07-06</t>
        </is>
      </c>
      <c r="C12" s="27" t="inlineStr">
        <is>
          <t>资产配置策略分析</t>
        </is>
      </c>
      <c r="D12" s="11" t="inlineStr">
        <is>
          <t>SAA战略→TAA战术精准联动（投委会指令直接转化为因子约束输入QP引擎），宏观因子（利率/信用/流动性周期）驱动大类资产配置模型，动态权重优化，历史回测验证（≥5年），固收+策略P&amp;L归因（债券底仓+衍生品增强）</t>
        </is>
      </c>
      <c r="E12" s="11" t="inlineStr">
        <is>
          <t>回测期≥5年，预测方向胜率&gt;55%，SAA→TAA指令转化全程无人工干预</t>
        </is>
      </c>
      <c r="F12" s="11" t="inlineStr">
        <is>
          <t>AMD宏观数据/因子模型/IBOR</t>
        </is>
      </c>
      <c r="G12" s="41" t="inlineStr">
        <is>
          <t>高</t>
        </is>
      </c>
      <c r="H12" s="13" t="n">
        <v>40</v>
      </c>
      <c r="I12" s="12" t="inlineStr">
        <is>
          <t>P2</t>
        </is>
      </c>
      <c r="J12" s="11" t="inlineStr"/>
    </row>
    <row r="13" ht="18" customHeight="1">
      <c r="A13" s="43" t="inlineStr">
        <is>
          <t>C. 绩效归因</t>
        </is>
      </c>
    </row>
    <row r="14" ht="48" customHeight="1">
      <c r="A14" s="5" t="inlineStr">
        <is>
          <t>C. 绩效归因</t>
        </is>
      </c>
      <c r="B14" s="3" t="inlineStr">
        <is>
          <t>F07-07</t>
        </is>
      </c>
      <c r="C14" s="4" t="inlineStr">
        <is>
          <t>Campisi 2.0 固收绩效归因</t>
        </is>
      </c>
      <c r="D14" s="5" t="inlineStr">
        <is>
          <t>固定收益五效应完整拆解：①收入效应（票息+摊销），②国债效应（利率平移/曲线斜率/曲率三效应分离，用Key Rate Duration精确映射），③利差效应（DTS贡献/行业配置效应/个券选择效应），④交易效应（择时Alpha或损耗量化），⑤残差校验（&lt;5bp合格）；日/周/月/季多维度报告自动生成</t>
        </is>
      </c>
      <c r="E14" s="5" t="inlineStr">
        <is>
          <t>五效应合计与实际收益残差&lt;5bps，T+1 9:00前自动报告</t>
        </is>
      </c>
      <c r="F14" s="5" t="inlineStr">
        <is>
          <t>IBOR持仓/AMD行情/定价平台</t>
        </is>
      </c>
      <c r="G14" s="41" t="inlineStr">
        <is>
          <t>高</t>
        </is>
      </c>
      <c r="H14" s="8" t="n">
        <v>40</v>
      </c>
      <c r="I14" s="6" t="inlineStr">
        <is>
          <t>P1</t>
        </is>
      </c>
      <c r="J14" s="5" t="inlineStr"/>
    </row>
    <row r="15" ht="48" customHeight="1">
      <c r="A15" s="5" t="inlineStr">
        <is>
          <t>C. 绩效归因</t>
        </is>
      </c>
      <c r="B15" s="3" t="inlineStr">
        <is>
          <t>F07-08</t>
        </is>
      </c>
      <c r="C15" s="4" t="inlineStr">
        <is>
          <t>Brinson 资产组合绩效归因</t>
        </is>
      </c>
      <c r="D15" s="5" t="inlineStr">
        <is>
          <t>三效应：大类资产配置效应（超/低配决策贡献）/个券选择效应（同类标的选择Alpha）/交互效应，支持多层穿透（资产大类→行业→子行业→个股/个基），FOF基金穿透底层持仓，日/月/季/年累计归因趋势，投资经理能力量化排名</t>
        </is>
      </c>
      <c r="E15" s="5" t="inlineStr">
        <is>
          <t>Brinson结果与Bloomberg AIM误差&lt;0.1%，穿透层级≥4层</t>
        </is>
      </c>
      <c r="F15" s="5" t="inlineStr">
        <is>
          <t>IBOR持仓/AMD行情/指数数据</t>
        </is>
      </c>
      <c r="G15" s="41" t="inlineStr">
        <is>
          <t>高</t>
        </is>
      </c>
      <c r="H15" s="8" t="n">
        <v>35</v>
      </c>
      <c r="I15" s="6" t="inlineStr">
        <is>
          <t>P1</t>
        </is>
      </c>
      <c r="J15" s="5" t="inlineStr"/>
    </row>
    <row r="16" ht="48" customHeight="1">
      <c r="A16" s="5" t="inlineStr">
        <is>
          <t>C. 绩效归因</t>
        </is>
      </c>
      <c r="B16" s="3" t="inlineStr">
        <is>
          <t>F07-09</t>
        </is>
      </c>
      <c r="C16" s="4" t="inlineStr">
        <is>
          <t>指数跟踪误差与主动风险归因</t>
        </is>
      </c>
      <c r="D16" s="5" t="inlineStr">
        <is>
          <t>对标中债综合/信用/政策行等基准指数，跟踪误差（TE）日频监控，TE分解（配置效应TE+选券效应TE+协方差），信息比率（IR）实时监控（目标IR&gt;0.5，预警IR连续3月&lt;0），超额Alpha三因子分解</t>
        </is>
      </c>
      <c r="E16" s="5" t="inlineStr">
        <is>
          <t>TE计算误差&lt;1bps，支持≥10基准指数，IR预警自动推送</t>
        </is>
      </c>
      <c r="F16" s="5" t="inlineStr">
        <is>
          <t>AMD中债估值/IBOR持仓/因子模型</t>
        </is>
      </c>
      <c r="G16" s="42" t="inlineStr">
        <is>
          <t>中</t>
        </is>
      </c>
      <c r="H16" s="8" t="n">
        <v>25</v>
      </c>
      <c r="I16" s="6" t="inlineStr">
        <is>
          <t>P1</t>
        </is>
      </c>
      <c r="J16" s="5" t="inlineStr"/>
    </row>
    <row r="17" ht="18" customHeight="1">
      <c r="A17" s="43" t="inlineStr">
        <is>
          <t>D. 风险计量</t>
        </is>
      </c>
    </row>
    <row r="18" ht="48" customHeight="1">
      <c r="A18" s="5" t="inlineStr">
        <is>
          <t>D. 风险计量</t>
        </is>
      </c>
      <c r="B18" s="3" t="inlineStr">
        <is>
          <t>F07-10</t>
        </is>
      </c>
      <c r="C18" s="4" t="inlineStr">
        <is>
          <t>因子风险分解 + MCTR边际风险贡献</t>
        </is>
      </c>
      <c r="D18" s="5" t="inlineStr">
        <is>
          <t>全持仓分解为2200+风险因子（利率/信用/权益/商品/汇率），系统性风险+特异性风险分离；MCTR边际风险贡献（∂组合波动率/∂持仓权重），风险消耗排名（识别"风险大户"），减仓/加仓优先级引导，风险预算仪表盘（已用/剩余/预警线三档）</t>
        </is>
      </c>
      <c r="E18" s="5" t="inlineStr">
        <is>
          <t>因子模型解释方差&gt;80%，MCTR实时更新延迟&lt;5s，Alpha IC均值&gt;0.05</t>
        </is>
      </c>
      <c r="F18" s="5" t="inlineStr">
        <is>
          <t>AMD历史行情/IBOR持仓/定价平台</t>
        </is>
      </c>
      <c r="G18" s="41" t="inlineStr">
        <is>
          <t>高</t>
        </is>
      </c>
      <c r="H18" s="8" t="n">
        <v>40</v>
      </c>
      <c r="I18" s="6" t="inlineStr">
        <is>
          <t>P1</t>
        </is>
      </c>
      <c r="J18" s="5" t="inlineStr"/>
    </row>
    <row r="19" ht="48" customHeight="1">
      <c r="A19" s="5" t="inlineStr">
        <is>
          <t>D. 风险计量</t>
        </is>
      </c>
      <c r="B19" s="3" t="inlineStr">
        <is>
          <t>F07-11</t>
        </is>
      </c>
      <c r="C19" s="4" t="inlineStr">
        <is>
          <t>Component VaR 四层穿透分析</t>
        </is>
      </c>
      <c r="D19" s="5" t="inlineStr">
        <is>
          <t>VaR四层穿透：资产类别VaR→行业/子市场VaR→评级/信用质量VaR→单一发行人Component VaR，含跨类分散化收益量化；三种方法互验（历史模拟500日99%置信度/Monte Carlo 10000次/参数解析法），方法差异超阈值自动预警</t>
        </is>
      </c>
      <c r="E19" s="5" t="inlineStr">
        <is>
          <t>三方法VaR差异&lt;10%，穿透至发行人层，全量计算&lt;1min</t>
        </is>
      </c>
      <c r="F19" s="5" t="inlineStr">
        <is>
          <t>FICC风险计量平台/定价平台/IBOR</t>
        </is>
      </c>
      <c r="G19" s="41" t="inlineStr">
        <is>
          <t>高</t>
        </is>
      </c>
      <c r="H19" s="8" t="n">
        <v>35</v>
      </c>
      <c r="I19" s="6" t="inlineStr">
        <is>
          <t>P1</t>
        </is>
      </c>
      <c r="J19" s="5" t="inlineStr"/>
    </row>
    <row r="20" ht="48" customHeight="1">
      <c r="A20" s="5" t="inlineStr">
        <is>
          <t>D. 风险计量</t>
        </is>
      </c>
      <c r="B20" s="3" t="inlineStr">
        <is>
          <t>F07-12</t>
        </is>
      </c>
      <c r="C20" s="4" t="inlineStr">
        <is>
          <t>敏感度分析（多维Shock Grid）</t>
        </is>
      </c>
      <c r="D20" s="5" t="inlineStr">
        <is>
          <t>利率敏感度（DV01/关键期限点KRD/凸性），信用敏感度（CS01/DTS分评级/分行业），权益敏感度（Delta/Beta/行业Beta），商品汇率敏感度；利率×信用利差二维冲击矩阵（Shock Grid），识别最脆弱组合方向，对冲比率建议</t>
        </is>
      </c>
      <c r="E20" s="5" t="inlineStr">
        <is>
          <t>DV01与Bloomberg基准误差&lt;0.5bps，Shock Grid 5×5矩阵实时刷新</t>
        </is>
      </c>
      <c r="F20" s="5" t="inlineStr">
        <is>
          <t>定价平台Greeks接口/IBOR</t>
        </is>
      </c>
      <c r="G20" s="41" t="inlineStr">
        <is>
          <t>高</t>
        </is>
      </c>
      <c r="H20" s="8" t="n">
        <v>30</v>
      </c>
      <c r="I20" s="6" t="inlineStr">
        <is>
          <t>P1</t>
        </is>
      </c>
      <c r="J20" s="5" t="inlineStr"/>
    </row>
    <row r="21" ht="48" customHeight="1">
      <c r="A21" s="5" t="inlineStr">
        <is>
          <t>D. 风险计量</t>
        </is>
      </c>
      <c r="B21" s="3" t="inlineStr">
        <is>
          <t>F07-13</t>
        </is>
      </c>
      <c r="C21" s="4" t="inlineStr">
        <is>
          <t>情景分析与压力测试</t>
        </is>
      </c>
      <c r="D21" s="5" t="inlineStr">
        <is>
          <t>三层：①历史情景重演（924行情/2019包商/2013钱荒/2015股灾等8+事件，含冲击参数还原），②假设情景模拟（自定义任意冲击组合，即时P&amp;L输出+应急对冲建议），③反向压力测试（倒推触发止损线的临界市场情景+历史发生频率），≥20情景并行</t>
        </is>
      </c>
      <c r="E21" s="5" t="inlineStr">
        <is>
          <t>历史情景复现误差&lt;1%，情景P&amp;L误差&lt;0.5%，支持≥20情景并行</t>
        </is>
      </c>
      <c r="F21" s="5" t="inlineStr">
        <is>
          <t>FICC风险计量平台/定价平台</t>
        </is>
      </c>
      <c r="G21" s="41" t="inlineStr">
        <is>
          <t>高</t>
        </is>
      </c>
      <c r="H21" s="8" t="n">
        <v>35</v>
      </c>
      <c r="I21" s="6" t="inlineStr">
        <is>
          <t>P1</t>
        </is>
      </c>
      <c r="J21" s="5" t="inlineStr"/>
    </row>
    <row r="22" ht="18" customHeight="1">
      <c r="A22" s="29" t="inlineStr">
        <is>
          <t>E. 流动性与对冲管理</t>
        </is>
      </c>
    </row>
    <row r="23" ht="48" customHeight="1">
      <c r="A23" s="5" t="inlineStr">
        <is>
          <t>E. 流动性与对冲管理</t>
        </is>
      </c>
      <c r="B23" s="3" t="inlineStr">
        <is>
          <t>F07-14</t>
        </is>
      </c>
      <c r="C23" s="4" t="inlineStr">
        <is>
          <t>流动性风险管理（LVaR）</t>
        </is>
      </c>
      <c r="D23" s="5" t="inlineStr">
        <is>
          <t>逐持仓变现能力评估（规模/日均成交量→变现天数），Almgren-Chriss市场冲击成本模型，流动性压力测试（X天内变现Y亿最优路径+成本），流动性调整VaR（LVaR=传统VaR+流动性溢价），流动性覆盖率/缓冲监控（1/3/5/10日分层），回购到期日历</t>
        </is>
      </c>
      <c r="E23" s="5" t="inlineStr">
        <is>
          <t>LVaR与市场基准误差&lt;5%，日均成交量覆盖≥95%持仓，变现路径建议&lt;3s</t>
        </is>
      </c>
      <c r="F23" s="5" t="inlineStr">
        <is>
          <t>AMD行情/IBOR持仓</t>
        </is>
      </c>
      <c r="G23" s="42" t="inlineStr">
        <is>
          <t>中</t>
        </is>
      </c>
      <c r="H23" s="8" t="n">
        <v>25</v>
      </c>
      <c r="I23" s="6" t="inlineStr">
        <is>
          <t>P1</t>
        </is>
      </c>
      <c r="J23" s="5" t="inlineStr"/>
    </row>
    <row r="24" ht="48" customHeight="1">
      <c r="A24" s="11" t="inlineStr">
        <is>
          <t>E. 流动性与对冲管理</t>
        </is>
      </c>
      <c r="B24" s="10" t="inlineStr">
        <is>
          <t>F07-15</t>
        </is>
      </c>
      <c r="C24" s="27" t="inlineStr">
        <is>
          <t>衍生品对冲决策引擎</t>
        </is>
      </c>
      <c r="D24" s="11" t="inlineStr">
        <is>
          <t>七类工具矩阵（国债期货2/5/10/30Y/IRS/CDS/股指期货IF/IH/IC/IM/股指期权/黄金期货/外汇远掉期），系统推荐最优对冲方案（成本最小约束），一键生成对冲指令，对冲效果追踪（前后风险指标对比/效率/执行滑点）；支持快速/精细/尾部/跨资产四种场景</t>
        </is>
      </c>
      <c r="E24" s="11" t="inlineStr">
        <is>
          <t>对冲方案推荐&lt;5s，DV01对冲误差&lt;5%，指令自动流转执行引擎</t>
        </is>
      </c>
      <c r="F24" s="11" t="inlineStr">
        <is>
          <t>衍生品交易系统/IBOR/定价平台/事前风控</t>
        </is>
      </c>
      <c r="G24" s="41" t="inlineStr">
        <is>
          <t>高</t>
        </is>
      </c>
      <c r="H24" s="13" t="n">
        <v>30</v>
      </c>
      <c r="I24" s="12" t="inlineStr">
        <is>
          <t>P2</t>
        </is>
      </c>
      <c r="J24" s="11" t="inlineStr"/>
    </row>
    <row r="25" ht="18" customHeight="1">
      <c r="A25" s="44" t="inlineStr">
        <is>
          <t>F. 量化底座集成</t>
        </is>
      </c>
    </row>
    <row r="26" ht="48" customHeight="1">
      <c r="A26" s="11" t="inlineStr">
        <is>
          <t>F. 量化底座集成</t>
        </is>
      </c>
      <c r="B26" s="10" t="inlineStr">
        <is>
          <t>F07-16</t>
        </is>
      </c>
      <c r="C26" s="27" t="inlineStr">
        <is>
          <t>定价计算集成</t>
        </is>
      </c>
      <c r="D26" s="11" t="inlineStr">
        <is>
          <t>调用定价平台实时估值与Greeks（含权债/可转债/IRS），Redis缓存结果，Kafka推送持仓+估值变化事件，日终全量估值批处理</t>
        </is>
      </c>
      <c r="E26" s="11" t="inlineStr">
        <is>
          <t>定价API p99&lt;200ms，日终全量估值&lt;30min（10万券）</t>
        </is>
      </c>
      <c r="F26" s="11" t="inlineStr">
        <is>
          <t>定价平台</t>
        </is>
      </c>
      <c r="G26" s="41" t="inlineStr">
        <is>
          <t>高</t>
        </is>
      </c>
      <c r="H26" s="13" t="n">
        <v>20</v>
      </c>
      <c r="I26" s="12" t="inlineStr">
        <is>
          <t>P2</t>
        </is>
      </c>
      <c r="J26" s="11" t="inlineStr"/>
    </row>
    <row r="27" ht="48" customHeight="1">
      <c r="A27" s="5" t="inlineStr">
        <is>
          <t>F. 量化底座集成</t>
        </is>
      </c>
      <c r="B27" s="3" t="inlineStr">
        <is>
          <t>F07-17</t>
        </is>
      </c>
      <c r="C27" s="4" t="inlineStr">
        <is>
          <t>利率曲线集成</t>
        </is>
      </c>
      <c r="D27" s="5" t="inlineStr">
        <is>
          <t>多曲线实时消费（国债/政策行/AAA信用/OIS），NS参数提取（水平/斜率/曲率），关键期限点敏感度映射，曲线版本快照（供归因历史复现）</t>
        </is>
      </c>
      <c r="E27" s="5" t="inlineStr">
        <is>
          <t>曲线更新延迟&lt;1s，NS拟合R²&gt;0.999</t>
        </is>
      </c>
      <c r="F27" s="5" t="inlineStr">
        <is>
          <t>AMD行情平台/定价平台</t>
        </is>
      </c>
      <c r="G27" s="42" t="inlineStr">
        <is>
          <t>中</t>
        </is>
      </c>
      <c r="H27" s="8" t="n">
        <v>15</v>
      </c>
      <c r="I27" s="6" t="inlineStr">
        <is>
          <t>P1</t>
        </is>
      </c>
      <c r="J27" s="5" t="inlineStr"/>
    </row>
    <row r="28" ht="48" customHeight="1">
      <c r="A28" s="5" t="inlineStr">
        <is>
          <t>F. 量化底座集成</t>
        </is>
      </c>
      <c r="B28" s="3" t="inlineStr">
        <is>
          <t>F07-18</t>
        </is>
      </c>
      <c r="C28" s="4" t="inlineStr">
        <is>
          <t>因子模型</t>
        </is>
      </c>
      <c r="D28" s="5" t="inlineStr">
        <is>
          <t>多因子风险模型（2200+风险因子：利率/信用/流动性/权益Beta/行业/风格/商品/汇率），Alpha因子库（≥20因子，IC均值&gt;0.05），因子暴露实时计算与历史追踪，因子风险贡献预算管理</t>
        </is>
      </c>
      <c r="E28" s="5" t="inlineStr">
        <is>
          <t>因子模型解释方差&gt;80%，因子暴露更新延迟&lt;10s</t>
        </is>
      </c>
      <c r="F28" s="5" t="inlineStr">
        <is>
          <t>AMD历史行情/IBOR持仓</t>
        </is>
      </c>
      <c r="G28" s="41" t="inlineStr">
        <is>
          <t>高</t>
        </is>
      </c>
      <c r="H28" s="8" t="n">
        <v>40</v>
      </c>
      <c r="I28" s="6" t="inlineStr">
        <is>
          <t>P1</t>
        </is>
      </c>
      <c r="J28" s="5" t="inlineStr"/>
    </row>
    <row r="29">
      <c r="A29" s="40" t="inlineStr">
        <is>
          <t>合计 18项功能  |  P1: 15项  |  P2: 3项</t>
        </is>
      </c>
      <c r="H29" s="20">
        <f>SUM(H5:H28)</f>
        <v/>
      </c>
      <c r="I29" s="34" t="inlineStr"/>
      <c r="J29" s="34" t="inlineStr"/>
    </row>
  </sheetData>
  <mergeCells count="10">
    <mergeCell ref="A1:J1"/>
    <mergeCell ref="A5:J5"/>
    <mergeCell ref="A22:J22"/>
    <mergeCell ref="A17:J17"/>
    <mergeCell ref="A9:J9"/>
    <mergeCell ref="A3:J3"/>
    <mergeCell ref="A29:G29"/>
    <mergeCell ref="A2:J2"/>
    <mergeCell ref="A25:J25"/>
    <mergeCell ref="A13:J13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系统详情：策略投资/量化  |  Quant Strategy</t>
        </is>
      </c>
    </row>
    <row r="2" ht="36" customHeight="1">
      <c r="A2" s="39" t="inlineStr">
        <is>
          <t>战略定位：因子框架+回测引擎+模拟盘+AI辅助开发，覆盖利差/基差/跨市场套利等固收量化策略全流程；对应PPT Slide 41   |   来源：Slide 41</t>
        </is>
      </c>
    </row>
    <row r="3" ht="28" customHeight="1">
      <c r="A3" s="40" t="inlineStr">
        <is>
          <t>模块：策略投资/量化  (Quant Strategy)  |  优先级：P1  |  竞品：无主导者  |  华锐基础：低延迟ATP执行层/定价平台  |  工期：12月  团队：12人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D1. 策略研发</t>
        </is>
      </c>
    </row>
    <row r="6" ht="48" customHeight="1">
      <c r="A6" s="5" t="inlineStr">
        <is>
          <t>D1. 策略研发</t>
        </is>
      </c>
      <c r="B6" s="3" t="inlineStr">
        <is>
          <t>F08-01</t>
        </is>
      </c>
      <c r="C6" s="4" t="inlineStr">
        <is>
          <t>策略编写与版本管理</t>
        </is>
      </c>
      <c r="D6" s="5" t="inlineStr">
        <is>
          <t>Python/C++策略脚本编写，沙箱隔离运行，策略版本管理，策略库分类管理（利差/基差/跨市场套利/网格/固收/量价）</t>
        </is>
      </c>
      <c r="E6" s="5" t="inlineStr"/>
      <c r="F6" s="5" t="inlineStr"/>
      <c r="G6" s="41" t="inlineStr">
        <is>
          <t>高</t>
        </is>
      </c>
      <c r="H6" s="8" t="n">
        <v>40</v>
      </c>
      <c r="I6" s="6" t="inlineStr">
        <is>
          <t>P1</t>
        </is>
      </c>
      <c r="J6" s="5" t="inlineStr"/>
    </row>
    <row r="7" ht="48" customHeight="1">
      <c r="A7" s="5" t="inlineStr">
        <is>
          <t>D1. 策略研发</t>
        </is>
      </c>
      <c r="B7" s="3" t="inlineStr">
        <is>
          <t>F08-02</t>
        </is>
      </c>
      <c r="C7" s="4" t="inlineStr">
        <is>
          <t>AI辅助策略开发</t>
        </is>
      </c>
      <c r="D7" s="5" t="inlineStr">
        <is>
          <t>AI代码生成辅助，AI因子生成，AI参数优化建议，自然语言描述策略逻辑转代码</t>
        </is>
      </c>
      <c r="E7" s="5" t="inlineStr"/>
      <c r="F7" s="5" t="inlineStr"/>
      <c r="G7" s="41" t="inlineStr">
        <is>
          <t>高</t>
        </is>
      </c>
      <c r="H7" s="8" t="n">
        <v>35</v>
      </c>
      <c r="I7" s="6" t="inlineStr">
        <is>
          <t>P1</t>
        </is>
      </c>
      <c r="J7" s="5" t="inlineStr"/>
    </row>
    <row r="8" ht="48" customHeight="1">
      <c r="A8" s="5" t="inlineStr">
        <is>
          <t>D1. 策略研发</t>
        </is>
      </c>
      <c r="B8" s="3" t="inlineStr">
        <is>
          <t>F08-03</t>
        </is>
      </c>
      <c r="C8" s="4" t="inlineStr">
        <is>
          <t>因子挖掘与管理</t>
        </is>
      </c>
      <c r="D8" s="5" t="inlineStr">
        <is>
          <t>因子编写，信号生成，因子库管理，AlphaLens因子有效性分析，量化模型库，宏观/技术/基本面因子</t>
        </is>
      </c>
      <c r="E8" s="5" t="inlineStr"/>
      <c r="F8" s="5" t="inlineStr"/>
      <c r="G8" s="41" t="inlineStr">
        <is>
          <t>高</t>
        </is>
      </c>
      <c r="H8" s="8" t="n">
        <v>40</v>
      </c>
      <c r="I8" s="6" t="inlineStr">
        <is>
          <t>P1</t>
        </is>
      </c>
      <c r="J8" s="5" t="inlineStr"/>
    </row>
    <row r="9" ht="18" customHeight="1">
      <c r="A9" s="40" t="inlineStr">
        <is>
          <t>D2. 回测与模拟验证</t>
        </is>
      </c>
    </row>
    <row r="10" ht="48" customHeight="1">
      <c r="A10" s="5" t="inlineStr">
        <is>
          <t>D2. 回测与模拟验证</t>
        </is>
      </c>
      <c r="B10" s="3" t="inlineStr">
        <is>
          <t>F08-04</t>
        </is>
      </c>
      <c r="C10" s="4" t="inlineStr">
        <is>
          <t>Tick级回测引擎</t>
        </is>
      </c>
      <c r="D10" s="5" t="inlineStr">
        <is>
          <t>Tick数据驱动回测，真实滑点/冲击模型，批量参数优化，风险计量，绩效归因，AlphaLens分析集成</t>
        </is>
      </c>
      <c r="E10" s="5" t="inlineStr"/>
      <c r="F10" s="5" t="inlineStr"/>
      <c r="G10" s="28" t="inlineStr">
        <is>
          <t>极高</t>
        </is>
      </c>
      <c r="H10" s="8" t="n">
        <v>60</v>
      </c>
      <c r="I10" s="6" t="inlineStr">
        <is>
          <t>P1</t>
        </is>
      </c>
      <c r="J10" s="5" t="inlineStr"/>
    </row>
    <row r="11" ht="48" customHeight="1">
      <c r="A11" s="5" t="inlineStr">
        <is>
          <t>D2. 回测与模拟验证</t>
        </is>
      </c>
      <c r="B11" s="3" t="inlineStr">
        <is>
          <t>F08-05</t>
        </is>
      </c>
      <c r="C11" s="4" t="inlineStr">
        <is>
          <t>模拟盘验证</t>
        </is>
      </c>
      <c r="D11" s="5" t="inlineStr">
        <is>
          <t>情景模拟，敏感度模拟，极端场景模拟，性能测试，模拟盘与实盘结果对比分析</t>
        </is>
      </c>
      <c r="E11" s="5" t="inlineStr"/>
      <c r="F11" s="5" t="inlineStr"/>
      <c r="G11" s="41" t="inlineStr">
        <is>
          <t>高</t>
        </is>
      </c>
      <c r="H11" s="8" t="n">
        <v>30</v>
      </c>
      <c r="I11" s="6" t="inlineStr">
        <is>
          <t>P1</t>
        </is>
      </c>
      <c r="J11" s="5" t="inlineStr"/>
    </row>
    <row r="12" ht="18" customHeight="1">
      <c r="A12" s="43" t="inlineStr">
        <is>
          <t>D3. 策略上线管理</t>
        </is>
      </c>
    </row>
    <row r="13" ht="48" customHeight="1">
      <c r="A13" s="5" t="inlineStr">
        <is>
          <t>D3. 策略上线管理</t>
        </is>
      </c>
      <c r="B13" s="3" t="inlineStr">
        <is>
          <t>F08-06</t>
        </is>
      </c>
      <c r="C13" s="4" t="inlineStr">
        <is>
          <t>策略上线审批</t>
        </is>
      </c>
      <c r="D13" s="5" t="inlineStr">
        <is>
          <t>模拟盘通过后触发上线审批流程，多级合规审核，审批留痕，参数锁定后方可实盘运行</t>
        </is>
      </c>
      <c r="E13" s="5" t="inlineStr"/>
      <c r="F13" s="5" t="inlineStr"/>
      <c r="G13" s="42" t="inlineStr">
        <is>
          <t>中</t>
        </is>
      </c>
      <c r="H13" s="8" t="n">
        <v>20</v>
      </c>
      <c r="I13" s="6" t="inlineStr">
        <is>
          <t>P1</t>
        </is>
      </c>
      <c r="J13" s="5" t="inlineStr"/>
    </row>
    <row r="14" ht="48" customHeight="1">
      <c r="A14" s="5" t="inlineStr">
        <is>
          <t>D3. 策略上线管理</t>
        </is>
      </c>
      <c r="B14" s="3" t="inlineStr">
        <is>
          <t>F08-07</t>
        </is>
      </c>
      <c r="C14" s="4" t="inlineStr">
        <is>
          <t>策略运行管理</t>
        </is>
      </c>
      <c r="D14" s="5" t="inlineStr">
        <is>
          <t>实盘策略启停管理，策略状态实时监控，支持手动干预和自动触发停止，多策略并发调度</t>
        </is>
      </c>
      <c r="E14" s="5" t="inlineStr"/>
      <c r="F14" s="5" t="inlineStr"/>
      <c r="G14" s="41" t="inlineStr">
        <is>
          <t>高</t>
        </is>
      </c>
      <c r="H14" s="8" t="n">
        <v>30</v>
      </c>
      <c r="I14" s="6" t="inlineStr">
        <is>
          <t>P1</t>
        </is>
      </c>
      <c r="J14" s="5" t="inlineStr"/>
    </row>
    <row r="15" ht="48" customHeight="1">
      <c r="A15" s="5" t="inlineStr">
        <is>
          <t>D3. 策略上线管理</t>
        </is>
      </c>
      <c r="B15" s="3" t="inlineStr">
        <is>
          <t>F08-08</t>
        </is>
      </c>
      <c r="C15" s="4" t="inlineStr">
        <is>
          <t>策略绩效分析</t>
        </is>
      </c>
      <c r="D15" s="5" t="inlineStr">
        <is>
          <t>实时PnL/持仓/回撤/Sharpe看板，策略归因分析，与基准对比，风险触发自动平仓</t>
        </is>
      </c>
      <c r="E15" s="5" t="inlineStr"/>
      <c r="F15" s="5" t="inlineStr"/>
      <c r="G15" s="42" t="inlineStr">
        <is>
          <t>中</t>
        </is>
      </c>
      <c r="H15" s="8" t="n">
        <v>25</v>
      </c>
      <c r="I15" s="6" t="inlineStr">
        <is>
          <t>P1</t>
        </is>
      </c>
      <c r="J15" s="5" t="inlineStr"/>
    </row>
    <row r="16" ht="18" customHeight="1">
      <c r="A16" s="43" t="inlineStr">
        <is>
          <t>D4. 行情分析</t>
        </is>
      </c>
    </row>
    <row r="17" ht="48" customHeight="1">
      <c r="A17" s="5" t="inlineStr">
        <is>
          <t>D4. 行情分析</t>
        </is>
      </c>
      <c r="B17" s="3" t="inlineStr">
        <is>
          <t>F08-09</t>
        </is>
      </c>
      <c r="C17" s="4" t="inlineStr">
        <is>
          <t>实时多市场行情</t>
        </is>
      </c>
      <c r="D17" s="5" t="inlineStr">
        <is>
          <t>现券/国债期货/股票/商品实时行情聚合展示，实时利差分析，跨市场价差监控，行情小窗</t>
        </is>
      </c>
      <c r="E17" s="5" t="inlineStr"/>
      <c r="F17" s="5" t="inlineStr"/>
      <c r="G17" s="42" t="inlineStr">
        <is>
          <t>中</t>
        </is>
      </c>
      <c r="H17" s="8" t="n">
        <v>20</v>
      </c>
      <c r="I17" s="6" t="inlineStr">
        <is>
          <t>P1</t>
        </is>
      </c>
      <c r="J17" s="5" t="inlineStr"/>
    </row>
    <row r="18" ht="48" customHeight="1">
      <c r="A18" s="5" t="inlineStr">
        <is>
          <t>D4. 行情分析</t>
        </is>
      </c>
      <c r="B18" s="3" t="inlineStr">
        <is>
          <t>F08-10</t>
        </is>
      </c>
      <c r="C18" s="4" t="inlineStr">
        <is>
          <t>历史行情回放</t>
        </is>
      </c>
      <c r="D18" s="5" t="inlineStr">
        <is>
          <t>现券/国债期货/股票/商品历史行情回放，支持任意时间点快照，用于回测验证和策略复盘</t>
        </is>
      </c>
      <c r="E18" s="5" t="inlineStr"/>
      <c r="F18" s="5" t="inlineStr"/>
      <c r="G18" s="42" t="inlineStr">
        <is>
          <t>中</t>
        </is>
      </c>
      <c r="H18" s="8" t="n">
        <v>20</v>
      </c>
      <c r="I18" s="6" t="inlineStr">
        <is>
          <t>P1</t>
        </is>
      </c>
      <c r="J18" s="5" t="inlineStr"/>
    </row>
    <row r="19" ht="18" customHeight="1">
      <c r="A19" s="29" t="inlineStr">
        <is>
          <t>D5. 量化底座</t>
        </is>
      </c>
    </row>
    <row r="20" ht="48" customHeight="1">
      <c r="A20" s="5" t="inlineStr">
        <is>
          <t>D5. 量化底座</t>
        </is>
      </c>
      <c r="B20" s="3" t="inlineStr">
        <is>
          <t>F08-11</t>
        </is>
      </c>
      <c r="C20" s="4" t="inlineStr">
        <is>
          <t>CEP流引擎与信号调度</t>
        </is>
      </c>
      <c r="D20" s="5" t="inlineStr">
        <is>
          <t>复杂事件处理引擎，策略信号实时计算与调度，低延迟执行接口对接ATP超低延迟执行层</t>
        </is>
      </c>
      <c r="E20" s="5" t="inlineStr"/>
      <c r="F20" s="5" t="inlineStr"/>
      <c r="G20" s="28" t="inlineStr">
        <is>
          <t>极高</t>
        </is>
      </c>
      <c r="H20" s="8" t="n">
        <v>45</v>
      </c>
      <c r="I20" s="6" t="inlineStr">
        <is>
          <t>P1</t>
        </is>
      </c>
      <c r="J20" s="5" t="inlineStr"/>
    </row>
    <row r="21" ht="48" customHeight="1">
      <c r="A21" s="5" t="inlineStr">
        <is>
          <t>D5. 量化底座</t>
        </is>
      </c>
      <c r="B21" s="3" t="inlineStr">
        <is>
          <t>F08-12</t>
        </is>
      </c>
      <c r="C21" s="4" t="inlineStr">
        <is>
          <t>基础数据与模型底座</t>
        </is>
      </c>
      <c r="D21" s="5" t="inlineStr">
        <is>
          <t>宏观因子库，债券曲线模型，估值数据接入，账户权限管理，AI引擎集成接口</t>
        </is>
      </c>
      <c r="E21" s="5" t="inlineStr"/>
      <c r="F21" s="5" t="inlineStr"/>
      <c r="G21" s="41" t="inlineStr">
        <is>
          <t>高</t>
        </is>
      </c>
      <c r="H21" s="8" t="n">
        <v>30</v>
      </c>
      <c r="I21" s="6" t="inlineStr">
        <is>
          <t>P1</t>
        </is>
      </c>
      <c r="J21" s="5" t="inlineStr"/>
    </row>
    <row r="22">
      <c r="A22" s="40" t="inlineStr">
        <is>
          <t>合计 12项功能  |  P1: 12项  |  P2: 0项</t>
        </is>
      </c>
      <c r="H22" s="20">
        <f>SUM(H5:H21)</f>
        <v/>
      </c>
      <c r="I22" s="34" t="inlineStr"/>
      <c r="J22" s="34" t="inlineStr"/>
    </row>
  </sheetData>
  <mergeCells count="9">
    <mergeCell ref="A1:J1"/>
    <mergeCell ref="A5:J5"/>
    <mergeCell ref="A16:J16"/>
    <mergeCell ref="A9:J9"/>
    <mergeCell ref="A22:G22"/>
    <mergeCell ref="A3:J3"/>
    <mergeCell ref="A12:J12"/>
    <mergeCell ref="A2:J2"/>
    <mergeCell ref="A19:J19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系统详情：定价平台  |  Pricing Platform</t>
        </is>
      </c>
    </row>
    <row r="2" ht="36" customHeight="1">
      <c r="A2" s="39" t="inlineStr">
        <is>
          <t>战略定位：蒙特卡洛/有限差分，替代衡泰核心，覆盖权益/利率/大宗商品/外汇/衍生品全品种；对应PPT Slide 56   |   来源：Slide 56</t>
        </is>
      </c>
    </row>
    <row r="3" ht="28" customHeight="1">
      <c r="A3" s="40" t="inlineStr">
        <is>
          <t>模块：定价平台  (Pricing Platform)  |  优先级：P2  |  竞品：衡泰(垄断)  |  华锐基础：ARC基础数值库  |  工期：18月  团队：15人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D1. 金融产品覆盖</t>
        </is>
      </c>
    </row>
    <row r="6" ht="48" customHeight="1">
      <c r="A6" s="11" t="inlineStr">
        <is>
          <t>D1. 金融产品覆盖</t>
        </is>
      </c>
      <c r="B6" s="10" t="inlineStr">
        <is>
          <t>F09-01</t>
        </is>
      </c>
      <c r="C6" s="27" t="inlineStr">
        <is>
          <t>期权收益结构定价</t>
        </is>
      </c>
      <c r="D6" s="11" t="inlineStr">
        <is>
          <t>香草期权/价差期权/欧式/美式/雪球/自定义期权定价，挂钩标的覆盖国债/期货/股票/指数/商品</t>
        </is>
      </c>
      <c r="E6" s="11" t="inlineStr"/>
      <c r="F6" s="11" t="inlineStr"/>
      <c r="G6" s="28" t="inlineStr">
        <is>
          <t>极高</t>
        </is>
      </c>
      <c r="H6" s="13" t="n">
        <v>60</v>
      </c>
      <c r="I6" s="12" t="inlineStr">
        <is>
          <t>P2</t>
        </is>
      </c>
      <c r="J6" s="11" t="inlineStr"/>
    </row>
    <row r="7" ht="48" customHeight="1">
      <c r="A7" s="11" t="inlineStr">
        <is>
          <t>D1. 金融产品覆盖</t>
        </is>
      </c>
      <c r="B7" s="10" t="inlineStr">
        <is>
          <t>F09-02</t>
        </is>
      </c>
      <c r="C7" s="27" t="inlineStr">
        <is>
          <t>结构化产品定价</t>
        </is>
      </c>
      <c r="D7" s="11" t="inlineStr">
        <is>
          <t>场外期权/远期/收益凭证/收益互换/融资融券/合约型互换定价，支持自定义结构化产品</t>
        </is>
      </c>
      <c r="E7" s="11" t="inlineStr"/>
      <c r="F7" s="11" t="inlineStr"/>
      <c r="G7" s="28" t="inlineStr">
        <is>
          <t>极高</t>
        </is>
      </c>
      <c r="H7" s="13" t="n">
        <v>50</v>
      </c>
      <c r="I7" s="12" t="inlineStr">
        <is>
          <t>P2</t>
        </is>
      </c>
      <c r="J7" s="11" t="inlineStr"/>
    </row>
    <row r="8" ht="48" customHeight="1">
      <c r="A8" s="11" t="inlineStr">
        <is>
          <t>D1. 金融产品覆盖</t>
        </is>
      </c>
      <c r="B8" s="10" t="inlineStr">
        <is>
          <t>F09-03</t>
        </is>
      </c>
      <c r="C8" s="27" t="inlineStr">
        <is>
          <t>固收品种定价</t>
        </is>
      </c>
      <c r="D8" s="11" t="inlineStr">
        <is>
          <t>固息/浮息国债，含权债，可转债精确定价，信用债估值，ABS定价</t>
        </is>
      </c>
      <c r="E8" s="11" t="inlineStr"/>
      <c r="F8" s="11" t="inlineStr"/>
      <c r="G8" s="41" t="inlineStr">
        <is>
          <t>高</t>
        </is>
      </c>
      <c r="H8" s="13" t="n">
        <v>40</v>
      </c>
      <c r="I8" s="12" t="inlineStr">
        <is>
          <t>P2</t>
        </is>
      </c>
      <c r="J8" s="11" t="inlineStr"/>
    </row>
    <row r="9" ht="18" customHeight="1">
      <c r="A9" s="40" t="inlineStr">
        <is>
          <t>D2. 市场数据底座</t>
        </is>
      </c>
    </row>
    <row r="10" ht="48" customHeight="1">
      <c r="A10" s="11" t="inlineStr">
        <is>
          <t>D2. 市场数据底座</t>
        </is>
      </c>
      <c r="B10" s="10" t="inlineStr">
        <is>
          <t>F09-04</t>
        </is>
      </c>
      <c r="C10" s="27" t="inlineStr">
        <is>
          <t>利率与信用曲线构建</t>
        </is>
      </c>
      <c r="D10" s="11" t="inlineStr">
        <is>
          <t>利率曲线（多插值方法），信用利差曲线，利差曲线，违约曲线，全品种统一曲线服务</t>
        </is>
      </c>
      <c r="E10" s="11" t="inlineStr"/>
      <c r="F10" s="11" t="inlineStr"/>
      <c r="G10" s="28" t="inlineStr">
        <is>
          <t>极高</t>
        </is>
      </c>
      <c r="H10" s="13" t="n">
        <v>60</v>
      </c>
      <c r="I10" s="12" t="inlineStr">
        <is>
          <t>P2</t>
        </is>
      </c>
      <c r="J10" s="11" t="inlineStr"/>
    </row>
    <row r="11" ht="48" customHeight="1">
      <c r="A11" s="11" t="inlineStr">
        <is>
          <t>D2. 市场数据底座</t>
        </is>
      </c>
      <c r="B11" s="10" t="inlineStr">
        <is>
          <t>F09-05</t>
        </is>
      </c>
      <c r="C11" s="27" t="inlineStr">
        <is>
          <t>波动率曲面构建</t>
        </is>
      </c>
      <c r="D11" s="11" t="inlineStr">
        <is>
          <t>隐含波动率曲面，红利曲线，汇率曲线，Local Volatility曲面，波动率微笑校准</t>
        </is>
      </c>
      <c r="E11" s="11" t="inlineStr"/>
      <c r="F11" s="11" t="inlineStr"/>
      <c r="G11" s="28" t="inlineStr">
        <is>
          <t>极高</t>
        </is>
      </c>
      <c r="H11" s="13" t="n">
        <v>50</v>
      </c>
      <c r="I11" s="12" t="inlineStr">
        <is>
          <t>P2</t>
        </is>
      </c>
      <c r="J11" s="11" t="inlineStr"/>
    </row>
    <row r="12" ht="48" customHeight="1">
      <c r="A12" s="11" t="inlineStr">
        <is>
          <t>D2. 市场数据底座</t>
        </is>
      </c>
      <c r="B12" s="10" t="inlineStr">
        <is>
          <t>F09-06</t>
        </is>
      </c>
      <c r="C12" s="27" t="inlineStr">
        <is>
          <t>市场数据管理</t>
        </is>
      </c>
      <c r="D12" s="11" t="inlineStr">
        <is>
          <t>境内外权益/债券/外汇/商品资讯统一接入，数据清洗，异常值处理，数据质量监控</t>
        </is>
      </c>
      <c r="E12" s="11" t="inlineStr"/>
      <c r="F12" s="11" t="inlineStr"/>
      <c r="G12" s="41" t="inlineStr">
        <is>
          <t>高</t>
        </is>
      </c>
      <c r="H12" s="13" t="n">
        <v>30</v>
      </c>
      <c r="I12" s="12" t="inlineStr">
        <is>
          <t>P2</t>
        </is>
      </c>
      <c r="J12" s="11" t="inlineStr"/>
    </row>
    <row r="13" ht="18" customHeight="1">
      <c r="A13" s="43" t="inlineStr">
        <is>
          <t>D3. 定价模型引擎</t>
        </is>
      </c>
    </row>
    <row r="14" ht="48" customHeight="1">
      <c r="A14" s="11" t="inlineStr">
        <is>
          <t>D3. 定价模型引擎</t>
        </is>
      </c>
      <c r="B14" s="10" t="inlineStr">
        <is>
          <t>F09-07</t>
        </is>
      </c>
      <c r="C14" s="27" t="inlineStr">
        <is>
          <t>蒙特卡洛求解器</t>
        </is>
      </c>
      <c r="D14" s="11" t="inlineStr">
        <is>
          <t>GPU加速MC，QMC低差异序列，支持路径相关期权定价，并行情景模拟</t>
        </is>
      </c>
      <c r="E14" s="11" t="inlineStr"/>
      <c r="F14" s="11" t="inlineStr"/>
      <c r="G14" s="28" t="inlineStr">
        <is>
          <t>极高</t>
        </is>
      </c>
      <c r="H14" s="13" t="n">
        <v>70</v>
      </c>
      <c r="I14" s="12" t="inlineStr">
        <is>
          <t>P2</t>
        </is>
      </c>
      <c r="J14" s="11" t="inlineStr"/>
    </row>
    <row r="15" ht="48" customHeight="1">
      <c r="A15" s="11" t="inlineStr">
        <is>
          <t>D3. 定价模型引擎</t>
        </is>
      </c>
      <c r="B15" s="10" t="inlineStr">
        <is>
          <t>F09-08</t>
        </is>
      </c>
      <c r="C15" s="27" t="inlineStr">
        <is>
          <t>解析解与数值解</t>
        </is>
      </c>
      <c r="D15" s="11" t="inlineStr">
        <is>
          <t>Black-Scholes解析解，Hull-White利率模型，SABR波动率模型，二叉树/三叉树数值解</t>
        </is>
      </c>
      <c r="E15" s="11" t="inlineStr"/>
      <c r="F15" s="11" t="inlineStr"/>
      <c r="G15" s="28" t="inlineStr">
        <is>
          <t>极高</t>
        </is>
      </c>
      <c r="H15" s="13" t="n">
        <v>60</v>
      </c>
      <c r="I15" s="12" t="inlineStr">
        <is>
          <t>P2</t>
        </is>
      </c>
      <c r="J15" s="11" t="inlineStr"/>
    </row>
    <row r="16" ht="48" customHeight="1">
      <c r="A16" s="11" t="inlineStr">
        <is>
          <t>D3. 定价模型引擎</t>
        </is>
      </c>
      <c r="B16" s="10" t="inlineStr">
        <is>
          <t>F09-09</t>
        </is>
      </c>
      <c r="C16" s="27" t="inlineStr">
        <is>
          <t>有限差分（PDE）</t>
        </is>
      </c>
      <c r="D16" s="11" t="inlineStr">
        <is>
          <t>Crank-Nicolson/ADI方法，含权债/可转债精确定价，局部波动率模型数值解</t>
        </is>
      </c>
      <c r="E16" s="11" t="inlineStr"/>
      <c r="F16" s="11" t="inlineStr"/>
      <c r="G16" s="28" t="inlineStr">
        <is>
          <t>极高</t>
        </is>
      </c>
      <c r="H16" s="13" t="n">
        <v>60</v>
      </c>
      <c r="I16" s="12" t="inlineStr">
        <is>
          <t>P2</t>
        </is>
      </c>
      <c r="J16" s="11" t="inlineStr"/>
    </row>
    <row r="17" ht="48" customHeight="1">
      <c r="A17" s="11" t="inlineStr">
        <is>
          <t>D3. 定价模型引擎</t>
        </is>
      </c>
      <c r="B17" s="10" t="inlineStr">
        <is>
          <t>F09-10</t>
        </is>
      </c>
      <c r="C17" s="27" t="inlineStr">
        <is>
          <t>实时Greeks计算</t>
        </is>
      </c>
      <c r="D17" s="11" t="inlineStr">
        <is>
          <t>Delta/Gamma/Vega/Theta/Rho分布式实时计算，DV01/CS01，分桶敏感度</t>
        </is>
      </c>
      <c r="E17" s="11" t="inlineStr"/>
      <c r="F17" s="11" t="inlineStr"/>
      <c r="G17" s="41" t="inlineStr">
        <is>
          <t>高</t>
        </is>
      </c>
      <c r="H17" s="13" t="n">
        <v>40</v>
      </c>
      <c r="I17" s="12" t="inlineStr">
        <is>
          <t>P2</t>
        </is>
      </c>
      <c r="J17" s="11" t="inlineStr"/>
    </row>
    <row r="18" ht="18" customHeight="1">
      <c r="A18" s="43" t="inlineStr">
        <is>
          <t>D4. 定价应用场景</t>
        </is>
      </c>
    </row>
    <row r="19" ht="48" customHeight="1">
      <c r="A19" s="11" t="inlineStr">
        <is>
          <t>D4. 定价应用场景</t>
        </is>
      </c>
      <c r="B19" s="10" t="inlineStr">
        <is>
          <t>F09-11</t>
        </is>
      </c>
      <c r="C19" s="27" t="inlineStr">
        <is>
          <t>估值与结算计算</t>
        </is>
      </c>
      <c r="D19" s="11" t="inlineStr">
        <is>
          <t>日终估值，盯市计算，保证金计算，结算价格，历史估值回测与误差分析</t>
        </is>
      </c>
      <c r="E19" s="11" t="inlineStr"/>
      <c r="F19" s="11" t="inlineStr"/>
      <c r="G19" s="41" t="inlineStr">
        <is>
          <t>高</t>
        </is>
      </c>
      <c r="H19" s="13" t="n">
        <v>40</v>
      </c>
      <c r="I19" s="12" t="inlineStr">
        <is>
          <t>P2</t>
        </is>
      </c>
      <c r="J19" s="11" t="inlineStr"/>
    </row>
    <row r="20" ht="48" customHeight="1">
      <c r="A20" s="11" t="inlineStr">
        <is>
          <t>D4. 定价应用场景</t>
        </is>
      </c>
      <c r="B20" s="10" t="inlineStr">
        <is>
          <t>F09-12</t>
        </is>
      </c>
      <c r="C20" s="27" t="inlineStr">
        <is>
          <t>风控与情景计算</t>
        </is>
      </c>
      <c r="D20" s="11" t="inlineStr">
        <is>
          <t>风险计量（VaR/压力测试）调用，情景分析，保证金计算，为风控平台提供统一定价接口</t>
        </is>
      </c>
      <c r="E20" s="11" t="inlineStr"/>
      <c r="F20" s="11" t="inlineStr"/>
      <c r="G20" s="41" t="inlineStr">
        <is>
          <t>高</t>
        </is>
      </c>
      <c r="H20" s="13" t="n">
        <v>35</v>
      </c>
      <c r="I20" s="12" t="inlineStr">
        <is>
          <t>P2</t>
        </is>
      </c>
      <c r="J20" s="11" t="inlineStr"/>
    </row>
    <row r="21" ht="48" customHeight="1">
      <c r="A21" s="11" t="inlineStr">
        <is>
          <t>D4. 定价应用场景</t>
        </is>
      </c>
      <c r="B21" s="10" t="inlineStr">
        <is>
          <t>F09-13</t>
        </is>
      </c>
      <c r="C21" s="27" t="inlineStr">
        <is>
          <t>客需报价服务</t>
        </is>
      </c>
      <c r="D21" s="11" t="inlineStr">
        <is>
          <t>为销售交易/TRS系统提供实时报价，一站式报价接口，支持结构化产品定制化快速报价</t>
        </is>
      </c>
      <c r="E21" s="11" t="inlineStr"/>
      <c r="F21" s="11" t="inlineStr"/>
      <c r="G21" s="41" t="inlineStr">
        <is>
          <t>高</t>
        </is>
      </c>
      <c r="H21" s="13" t="n">
        <v>35</v>
      </c>
      <c r="I21" s="12" t="inlineStr">
        <is>
          <t>P2</t>
        </is>
      </c>
      <c r="J21" s="11" t="inlineStr"/>
    </row>
    <row r="22" ht="18" customHeight="1">
      <c r="A22" s="29" t="inlineStr">
        <is>
          <t>D5. 平台基础设施</t>
        </is>
      </c>
    </row>
    <row r="23" ht="48" customHeight="1">
      <c r="A23" s="11" t="inlineStr">
        <is>
          <t>D5. 平台基础设施</t>
        </is>
      </c>
      <c r="B23" s="10" t="inlineStr">
        <is>
          <t>F09-14</t>
        </is>
      </c>
      <c r="C23" s="27" t="inlineStr">
        <is>
          <t>定价微服务架构</t>
        </is>
      </c>
      <c r="D23" s="11" t="inlineStr">
        <is>
          <t>REST/gRPC定价API，横向弹性扩容，p99&lt;100ms，模型插件化注册，版本管理</t>
        </is>
      </c>
      <c r="E23" s="11" t="inlineStr"/>
      <c r="F23" s="11" t="inlineStr"/>
      <c r="G23" s="41" t="inlineStr">
        <is>
          <t>高</t>
        </is>
      </c>
      <c r="H23" s="13" t="n">
        <v>40</v>
      </c>
      <c r="I23" s="12" t="inlineStr">
        <is>
          <t>P2</t>
        </is>
      </c>
      <c r="J23" s="11" t="inlineStr"/>
    </row>
    <row r="24" ht="48" customHeight="1">
      <c r="A24" s="11" t="inlineStr">
        <is>
          <t>D5. 平台基础设施</t>
        </is>
      </c>
      <c r="B24" s="10" t="inlineStr">
        <is>
          <t>F09-15</t>
        </is>
      </c>
      <c r="C24" s="27" t="inlineStr">
        <is>
          <t>灵活二次开发能力</t>
        </is>
      </c>
      <c r="D24" s="11" t="inlineStr">
        <is>
          <t>全平台级/单功能模块级/系统框架级可扩展，支持自定义模型接入，策略团队自助扩展</t>
        </is>
      </c>
      <c r="E24" s="11" t="inlineStr"/>
      <c r="F24" s="11" t="inlineStr"/>
      <c r="G24" s="41" t="inlineStr">
        <is>
          <t>高</t>
        </is>
      </c>
      <c r="H24" s="13" t="n">
        <v>30</v>
      </c>
      <c r="I24" s="12" t="inlineStr">
        <is>
          <t>P2</t>
        </is>
      </c>
      <c r="J24" s="11" t="inlineStr"/>
    </row>
    <row r="25">
      <c r="A25" s="40" t="inlineStr">
        <is>
          <t>合计 15项功能  |  P1: 0项  |  P2: 15项</t>
        </is>
      </c>
      <c r="H25" s="20">
        <f>SUM(H5:H24)</f>
        <v/>
      </c>
      <c r="I25" s="34" t="inlineStr"/>
      <c r="J25" s="34" t="inlineStr"/>
    </row>
  </sheetData>
  <mergeCells count="9">
    <mergeCell ref="A1:J1"/>
    <mergeCell ref="A5:J5"/>
    <mergeCell ref="A22:J22"/>
    <mergeCell ref="A9:J9"/>
    <mergeCell ref="A18:J18"/>
    <mergeCell ref="A3:J3"/>
    <mergeCell ref="A25:G25"/>
    <mergeCell ref="A2:J2"/>
    <mergeCell ref="A13:J13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系统详情：销售交易  |  Sales Trading</t>
        </is>
      </c>
    </row>
    <row r="2" ht="36" customHeight="1">
      <c r="A2" s="39" t="inlineStr">
        <is>
          <t>战略定位：面向对客服务的销售交易工作台，报价聚合、智能推荐、交易执行一体化；对应PPT Slide 47   |   来源：Slide 47</t>
        </is>
      </c>
    </row>
    <row r="3" ht="28" customHeight="1">
      <c r="A3" s="40" t="inlineStr">
        <is>
          <t>模块：销售交易  (Sales Trading)  |  优先级：P2  |  竞品：金证/顶点  |  华锐基础：现券交易系统/IBOR  |  工期：5月  团队：5人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D1. 报价管理</t>
        </is>
      </c>
    </row>
    <row r="6" ht="48" customHeight="1">
      <c r="A6" s="11" t="inlineStr">
        <is>
          <t>D1. 报价管理</t>
        </is>
      </c>
      <c r="B6" s="10" t="inlineStr">
        <is>
          <t>F10-01</t>
        </is>
      </c>
      <c r="C6" s="27" t="inlineStr">
        <is>
          <t>报价工作台</t>
        </is>
      </c>
      <c r="D6" s="11" t="inlineStr">
        <is>
          <t>历史报价管理，当日报价快捷操作，导入/导出报价，一键unrefer，报价提醒功能</t>
        </is>
      </c>
      <c r="E6" s="11" t="inlineStr"/>
      <c r="F6" s="11" t="inlineStr"/>
      <c r="G6" s="42" t="inlineStr">
        <is>
          <t>中</t>
        </is>
      </c>
      <c r="H6" s="13" t="n">
        <v>20</v>
      </c>
      <c r="I6" s="12" t="inlineStr">
        <is>
          <t>P2</t>
        </is>
      </c>
      <c r="J6" s="11" t="inlineStr"/>
    </row>
    <row r="7" ht="48" customHeight="1">
      <c r="A7" s="11" t="inlineStr">
        <is>
          <t>D1. 报价管理</t>
        </is>
      </c>
      <c r="B7" s="10" t="inlineStr">
        <is>
          <t>F10-02</t>
        </is>
      </c>
      <c r="C7" s="27" t="inlineStr">
        <is>
          <t>债券过滤与筛选</t>
        </is>
      </c>
      <c r="D7" s="11" t="inlineStr">
        <is>
          <t>信用债全品种过滤，利率债（国债/证金债/地方债）过滤，精确识别与模糊识别双模式</t>
        </is>
      </c>
      <c r="E7" s="11" t="inlineStr"/>
      <c r="F7" s="11" t="inlineStr"/>
      <c r="G7" s="42" t="inlineStr">
        <is>
          <t>低</t>
        </is>
      </c>
      <c r="H7" s="13" t="n">
        <v>10</v>
      </c>
      <c r="I7" s="12" t="inlineStr">
        <is>
          <t>P2</t>
        </is>
      </c>
      <c r="J7" s="11" t="inlineStr"/>
    </row>
    <row r="8" ht="48" customHeight="1">
      <c r="A8" s="11" t="inlineStr">
        <is>
          <t>D1. 报价管理</t>
        </is>
      </c>
      <c r="B8" s="10" t="inlineStr">
        <is>
          <t>F10-03</t>
        </is>
      </c>
      <c r="C8" s="27" t="inlineStr">
        <is>
          <t>报价撮合与对价</t>
        </is>
      </c>
      <c r="D8" s="11" t="inlineStr">
        <is>
          <t>对价/最优报价聚合展示，撮合对价，交易包管理，报价成交确认，一键成交</t>
        </is>
      </c>
      <c r="E8" s="11" t="inlineStr"/>
      <c r="F8" s="11" t="inlineStr"/>
      <c r="G8" s="42" t="inlineStr">
        <is>
          <t>中</t>
        </is>
      </c>
      <c r="H8" s="13" t="n">
        <v>20</v>
      </c>
      <c r="I8" s="12" t="inlineStr">
        <is>
          <t>P2</t>
        </is>
      </c>
      <c r="J8" s="11" t="inlineStr"/>
    </row>
    <row r="9" ht="18" customHeight="1">
      <c r="A9" s="40" t="inlineStr">
        <is>
          <t>D2. 交易执行</t>
        </is>
      </c>
    </row>
    <row r="10" ht="48" customHeight="1">
      <c r="A10" s="11" t="inlineStr">
        <is>
          <t>D2. 交易执行</t>
        </is>
      </c>
      <c r="B10" s="10" t="inlineStr">
        <is>
          <t>F10-04</t>
        </is>
      </c>
      <c r="C10" s="27" t="inlineStr">
        <is>
          <t>交易执行与要素校验</t>
        </is>
      </c>
      <c r="D10" s="11" t="inlineStr">
        <is>
          <t>意向达成，交易要素自动校验，手工价录入，业务审批流程，交易记录管理</t>
        </is>
      </c>
      <c r="E10" s="11" t="inlineStr"/>
      <c r="F10" s="11" t="inlineStr"/>
      <c r="G10" s="42" t="inlineStr">
        <is>
          <t>中</t>
        </is>
      </c>
      <c r="H10" s="13" t="n">
        <v>15</v>
      </c>
      <c r="I10" s="12" t="inlineStr">
        <is>
          <t>P2</t>
        </is>
      </c>
      <c r="J10" s="11" t="inlineStr"/>
    </row>
    <row r="11" ht="48" customHeight="1">
      <c r="A11" s="11" t="inlineStr">
        <is>
          <t>D2. 交易执行</t>
        </is>
      </c>
      <c r="B11" s="10" t="inlineStr">
        <is>
          <t>F10-05</t>
        </is>
      </c>
      <c r="C11" s="27" t="inlineStr">
        <is>
          <t>风控检查</t>
        </is>
      </c>
      <c r="D11" s="11" t="inlineStr">
        <is>
          <t>交易前风控规则同步校验，限额检查，合规拦截，风控记录留痕，不通过自动拦截</t>
        </is>
      </c>
      <c r="E11" s="11" t="inlineStr"/>
      <c r="F11" s="11" t="inlineStr"/>
      <c r="G11" s="42" t="inlineStr">
        <is>
          <t>中</t>
        </is>
      </c>
      <c r="H11" s="13" t="n">
        <v>15</v>
      </c>
      <c r="I11" s="12" t="inlineStr">
        <is>
          <t>P2</t>
        </is>
      </c>
      <c r="J11" s="11" t="inlineStr"/>
    </row>
    <row r="12" ht="18" customHeight="1">
      <c r="A12" s="43" t="inlineStr">
        <is>
          <t>D3. 智能服务</t>
        </is>
      </c>
    </row>
    <row r="13" ht="48" customHeight="1">
      <c r="A13" s="11" t="inlineStr">
        <is>
          <t>D3. 智能服务</t>
        </is>
      </c>
      <c r="B13" s="10" t="inlineStr">
        <is>
          <t>F10-06</t>
        </is>
      </c>
      <c r="C13" s="27" t="inlineStr">
        <is>
          <t>智能推荐系统</t>
        </is>
      </c>
      <c r="D13" s="11" t="inlineStr">
        <is>
          <t>基于客户画像与历史交易数据主动推荐券种，从被动服务转向主动服务，提升客户响应效率</t>
        </is>
      </c>
      <c r="E13" s="11" t="inlineStr"/>
      <c r="F13" s="11" t="inlineStr"/>
      <c r="G13" s="41" t="inlineStr">
        <is>
          <t>高</t>
        </is>
      </c>
      <c r="H13" s="13" t="n">
        <v>25</v>
      </c>
      <c r="I13" s="12" t="inlineStr">
        <is>
          <t>P2</t>
        </is>
      </c>
      <c r="J13" s="11" t="inlineStr"/>
    </row>
    <row r="14" ht="48" customHeight="1">
      <c r="A14" s="11" t="inlineStr">
        <is>
          <t>D3. 智能服务</t>
        </is>
      </c>
      <c r="B14" s="10" t="inlineStr">
        <is>
          <t>F10-07</t>
        </is>
      </c>
      <c r="C14" s="27" t="inlineStr">
        <is>
          <t>综合业务平台</t>
        </is>
      </c>
      <c r="D14" s="11" t="inlineStr">
        <is>
          <t>解决交易员分散办公与客户交易信息共享问题，报价聚合展示，客户快速服务，多地协同</t>
        </is>
      </c>
      <c r="E14" s="11" t="inlineStr"/>
      <c r="F14" s="11" t="inlineStr"/>
      <c r="G14" s="42" t="inlineStr">
        <is>
          <t>中</t>
        </is>
      </c>
      <c r="H14" s="13" t="n">
        <v>15</v>
      </c>
      <c r="I14" s="12" t="inlineStr">
        <is>
          <t>P2</t>
        </is>
      </c>
      <c r="J14" s="11" t="inlineStr"/>
    </row>
    <row r="15">
      <c r="A15" s="40" t="inlineStr">
        <is>
          <t>合计 7项功能  |  P1: 0项  |  P2: 7项</t>
        </is>
      </c>
      <c r="H15" s="20">
        <f>SUM(H5:H14)</f>
        <v/>
      </c>
      <c r="I15" s="34" t="inlineStr"/>
      <c r="J15" s="34" t="inlineStr"/>
    </row>
  </sheetData>
  <mergeCells count="7">
    <mergeCell ref="A1:J1"/>
    <mergeCell ref="A5:J5"/>
    <mergeCell ref="A9:J9"/>
    <mergeCell ref="A3:J3"/>
    <mergeCell ref="A12:J12"/>
    <mergeCell ref="A15:G15"/>
    <mergeCell ref="A2:J2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系统详情：信用债/信用衍生品  |  Credit Bond &amp; CDS</t>
        </is>
      </c>
    </row>
    <row r="2" ht="36" customHeight="1">
      <c r="A2" s="39" t="inlineStr">
        <is>
          <t>战略定位：信用评级/投资池/全生命周期信用风险管理，打通从评级审批到交易下单全链路；对应PPT Slide 42   |   来源：Slide 42</t>
        </is>
      </c>
    </row>
    <row r="3" ht="28" customHeight="1">
      <c r="A3" s="40" t="inlineStr">
        <is>
          <t>模块：信用债/信用衍生品  (Credit Bond &amp; CDS)  |  优先级：P2  |  竞品：衡泰/恒生  |  华锐基础：IBOR持仓账薄/定价平台  |  工期：8月  团队：8人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D1. 信用数据与评估</t>
        </is>
      </c>
    </row>
    <row r="6" ht="48" customHeight="1">
      <c r="A6" s="11" t="inlineStr">
        <is>
          <t>D1. 信用数据与评估</t>
        </is>
      </c>
      <c r="B6" s="10" t="inlineStr">
        <is>
          <t>F11-01</t>
        </is>
      </c>
      <c r="C6" s="27" t="inlineStr">
        <is>
          <t>信用风险数据接入</t>
        </is>
      </c>
      <c r="D6" s="11" t="inlineStr">
        <is>
          <t>外部信用数据服务接入（Wind/中诚信/联合评级等），内部数据整合，数据质量检查，信用风险数据集市</t>
        </is>
      </c>
      <c r="E6" s="11" t="inlineStr"/>
      <c r="F6" s="11" t="inlineStr"/>
      <c r="G6" s="41" t="inlineStr">
        <is>
          <t>高</t>
        </is>
      </c>
      <c r="H6" s="13" t="n">
        <v>30</v>
      </c>
      <c r="I6" s="12" t="inlineStr">
        <is>
          <t>P2</t>
        </is>
      </c>
      <c r="J6" s="11" t="inlineStr"/>
    </row>
    <row r="7" ht="48" customHeight="1">
      <c r="A7" s="11" t="inlineStr">
        <is>
          <t>D1. 信用数据与评估</t>
        </is>
      </c>
      <c r="B7" s="10" t="inlineStr">
        <is>
          <t>F11-02</t>
        </is>
      </c>
      <c r="C7" s="27" t="inlineStr">
        <is>
          <t>信用评估引擎</t>
        </is>
      </c>
      <c r="D7" s="11" t="inlineStr">
        <is>
          <t>持续迭代信用评价引擎，资产证券化评价，交易对手评价，违约概率（PD）建模，信用评分</t>
        </is>
      </c>
      <c r="E7" s="11" t="inlineStr"/>
      <c r="F7" s="11" t="inlineStr"/>
      <c r="G7" s="28" t="inlineStr">
        <is>
          <t>极高</t>
        </is>
      </c>
      <c r="H7" s="13" t="n">
        <v>40</v>
      </c>
      <c r="I7" s="12" t="inlineStr">
        <is>
          <t>P2</t>
        </is>
      </c>
      <c r="J7" s="11" t="inlineStr"/>
    </row>
    <row r="8" ht="48" customHeight="1">
      <c r="A8" s="11" t="inlineStr">
        <is>
          <t>D1. 信用数据与评估</t>
        </is>
      </c>
      <c r="B8" s="10" t="inlineStr">
        <is>
          <t>F11-03</t>
        </is>
      </c>
      <c r="C8" s="27" t="inlineStr">
        <is>
          <t>信用预警系统</t>
        </is>
      </c>
      <c r="D8" s="11" t="inlineStr">
        <is>
          <t>市场数据自动触发预警，评级下调动态预警，投后预警跟踪与信号处理，预警规则配置</t>
        </is>
      </c>
      <c r="E8" s="11" t="inlineStr"/>
      <c r="F8" s="11" t="inlineStr"/>
      <c r="G8" s="41" t="inlineStr">
        <is>
          <t>高</t>
        </is>
      </c>
      <c r="H8" s="13" t="n">
        <v>30</v>
      </c>
      <c r="I8" s="12" t="inlineStr">
        <is>
          <t>P2</t>
        </is>
      </c>
      <c r="J8" s="11" t="inlineStr"/>
    </row>
    <row r="9" ht="18" customHeight="1">
      <c r="A9" s="40" t="inlineStr">
        <is>
          <t>D2. 投资池与准入管理</t>
        </is>
      </c>
    </row>
    <row r="10" ht="48" customHeight="1">
      <c r="A10" s="11" t="inlineStr">
        <is>
          <t>D2. 投资池与准入管理</t>
        </is>
      </c>
      <c r="B10" s="10" t="inlineStr">
        <is>
          <t>F11-04</t>
        </is>
      </c>
      <c r="C10" s="27" t="inlineStr">
        <is>
          <t>投资池管理</t>
        </is>
      </c>
      <c r="D10" s="11" t="inlineStr">
        <is>
          <t>债券池配置与维护，债券准入/退出规则，白名单/黑名单管理，池状态实时更新</t>
        </is>
      </c>
      <c r="E10" s="11" t="inlineStr"/>
      <c r="F10" s="11" t="inlineStr"/>
      <c r="G10" s="42" t="inlineStr">
        <is>
          <t>中</t>
        </is>
      </c>
      <c r="H10" s="13" t="n">
        <v>20</v>
      </c>
      <c r="I10" s="12" t="inlineStr">
        <is>
          <t>P2</t>
        </is>
      </c>
      <c r="J10" s="11" t="inlineStr"/>
    </row>
    <row r="11" ht="48" customHeight="1">
      <c r="A11" s="11" t="inlineStr">
        <is>
          <t>D2. 投资池与准入管理</t>
        </is>
      </c>
      <c r="B11" s="10" t="inlineStr">
        <is>
          <t>F11-05</t>
        </is>
      </c>
      <c r="C11" s="27" t="inlineStr">
        <is>
          <t>评级管理</t>
        </is>
      </c>
      <c r="D11" s="11" t="inlineStr">
        <is>
          <t>内部评级录入与更新，外部评级同步（中诚信/联合/大公），评级变更历史追踪，评级模型管理</t>
        </is>
      </c>
      <c r="E11" s="11" t="inlineStr"/>
      <c r="F11" s="11" t="inlineStr"/>
      <c r="G11" s="42" t="inlineStr">
        <is>
          <t>中</t>
        </is>
      </c>
      <c r="H11" s="13" t="n">
        <v>20</v>
      </c>
      <c r="I11" s="12" t="inlineStr">
        <is>
          <t>P2</t>
        </is>
      </c>
      <c r="J11" s="11" t="inlineStr"/>
    </row>
    <row r="12" ht="48" customHeight="1">
      <c r="A12" s="11" t="inlineStr">
        <is>
          <t>D2. 投资池与准入管理</t>
        </is>
      </c>
      <c r="B12" s="10" t="inlineStr">
        <is>
          <t>F11-06</t>
        </is>
      </c>
      <c r="C12" s="27" t="inlineStr">
        <is>
          <t>投前审批管理</t>
        </is>
      </c>
      <c r="D12" s="11" t="inlineStr">
        <is>
          <t>新券投资准入审批流程，信用额度申请，投资决策材料生成，审批记录留痕</t>
        </is>
      </c>
      <c r="E12" s="11" t="inlineStr"/>
      <c r="F12" s="11" t="inlineStr"/>
      <c r="G12" s="42" t="inlineStr">
        <is>
          <t>中</t>
        </is>
      </c>
      <c r="H12" s="13" t="n">
        <v>20</v>
      </c>
      <c r="I12" s="12" t="inlineStr">
        <is>
          <t>P2</t>
        </is>
      </c>
      <c r="J12" s="11" t="inlineStr"/>
    </row>
    <row r="13" ht="18" customHeight="1">
      <c r="A13" s="43" t="inlineStr">
        <is>
          <t>D3. 持仓与风险监控</t>
        </is>
      </c>
    </row>
    <row r="14" ht="48" customHeight="1">
      <c r="A14" s="11" t="inlineStr">
        <is>
          <t>D3. 持仓与风险监控</t>
        </is>
      </c>
      <c r="B14" s="10" t="inlineStr">
        <is>
          <t>F11-07</t>
        </is>
      </c>
      <c r="C14" s="27" t="inlineStr">
        <is>
          <t>持仓与敞口管理</t>
        </is>
      </c>
      <c r="D14" s="11" t="inlineStr">
        <is>
          <t>信用债持仓实时查询，敞口管理，集中度分析（行业/评级/发行人），到期提醒</t>
        </is>
      </c>
      <c r="E14" s="11" t="inlineStr"/>
      <c r="F14" s="11" t="inlineStr"/>
      <c r="G14" s="42" t="inlineStr">
        <is>
          <t>中</t>
        </is>
      </c>
      <c r="H14" s="13" t="n">
        <v>20</v>
      </c>
      <c r="I14" s="12" t="inlineStr">
        <is>
          <t>P2</t>
        </is>
      </c>
      <c r="J14" s="11" t="inlineStr"/>
    </row>
    <row r="15" ht="48" customHeight="1">
      <c r="A15" s="11" t="inlineStr">
        <is>
          <t>D3. 持仓与风险监控</t>
        </is>
      </c>
      <c r="B15" s="10" t="inlineStr">
        <is>
          <t>F11-08</t>
        </is>
      </c>
      <c r="C15" s="27" t="inlineStr">
        <is>
          <t>信用风险监控看板</t>
        </is>
      </c>
      <c r="D15" s="11" t="inlineStr">
        <is>
          <t>多维度风险指标实时监控，信用利差走势，主体信用事件推送，指标监控与查询统计</t>
        </is>
      </c>
      <c r="E15" s="11" t="inlineStr"/>
      <c r="F15" s="11" t="inlineStr"/>
      <c r="G15" s="41" t="inlineStr">
        <is>
          <t>高</t>
        </is>
      </c>
      <c r="H15" s="13" t="n">
        <v>25</v>
      </c>
      <c r="I15" s="12" t="inlineStr">
        <is>
          <t>P2</t>
        </is>
      </c>
      <c r="J15" s="11" t="inlineStr"/>
    </row>
    <row r="16" ht="48" customHeight="1">
      <c r="A16" s="11" t="inlineStr">
        <is>
          <t>D3. 持仓与风险监控</t>
        </is>
      </c>
      <c r="B16" s="10" t="inlineStr">
        <is>
          <t>F11-09</t>
        </is>
      </c>
      <c r="C16" s="27" t="inlineStr">
        <is>
          <t>违约管理</t>
        </is>
      </c>
      <c r="D16" s="11" t="inlineStr">
        <is>
          <t>违约事件记录，违约债券处置跟踪，损失估算，监管报送，违约主体黑名单自动更新</t>
        </is>
      </c>
      <c r="E16" s="11" t="inlineStr"/>
      <c r="F16" s="11" t="inlineStr"/>
      <c r="G16" s="41" t="inlineStr">
        <is>
          <t>高</t>
        </is>
      </c>
      <c r="H16" s="13" t="n">
        <v>25</v>
      </c>
      <c r="I16" s="12" t="inlineStr">
        <is>
          <t>P2</t>
        </is>
      </c>
      <c r="J16" s="11" t="inlineStr"/>
    </row>
    <row r="17" ht="18" customHeight="1">
      <c r="A17" s="43" t="inlineStr">
        <is>
          <t>D4. 信用利差与衍生品</t>
        </is>
      </c>
    </row>
    <row r="18" ht="48" customHeight="1">
      <c r="A18" s="11" t="inlineStr">
        <is>
          <t>D4. 信用利差与衍生品</t>
        </is>
      </c>
      <c r="B18" s="10" t="inlineStr">
        <is>
          <t>F11-10</t>
        </is>
      </c>
      <c r="C18" s="27" t="inlineStr">
        <is>
          <t>信用利差分析</t>
        </is>
      </c>
      <c r="D18" s="11" t="inlineStr">
        <is>
          <t>行业/评级/期限信用利差曲线实时计算，历史分位数分析，利差走势，相对价值分析</t>
        </is>
      </c>
      <c r="E18" s="11" t="inlineStr"/>
      <c r="F18" s="11" t="inlineStr"/>
      <c r="G18" s="41" t="inlineStr">
        <is>
          <t>高</t>
        </is>
      </c>
      <c r="H18" s="13" t="n">
        <v>30</v>
      </c>
      <c r="I18" s="12" t="inlineStr">
        <is>
          <t>P2</t>
        </is>
      </c>
      <c r="J18" s="11" t="inlineStr"/>
    </row>
    <row r="19" ht="48" customHeight="1">
      <c r="A19" s="11" t="inlineStr">
        <is>
          <t>D4. 信用利差与衍生品</t>
        </is>
      </c>
      <c r="B19" s="10" t="inlineStr">
        <is>
          <t>F11-11</t>
        </is>
      </c>
      <c r="C19" s="27" t="inlineStr">
        <is>
          <t>CDS定价与管理</t>
        </is>
      </c>
      <c r="D19" s="11" t="inlineStr">
        <is>
          <t>信用违约互换定价（ISDA标准），生存概率曲线校准，CDS交易录入与持仓管理</t>
        </is>
      </c>
      <c r="E19" s="11" t="inlineStr"/>
      <c r="F19" s="11" t="inlineStr"/>
      <c r="G19" s="28" t="inlineStr">
        <is>
          <t>极高</t>
        </is>
      </c>
      <c r="H19" s="13" t="n">
        <v>40</v>
      </c>
      <c r="I19" s="12" t="inlineStr">
        <is>
          <t>P2</t>
        </is>
      </c>
      <c r="J19" s="11" t="inlineStr"/>
    </row>
    <row r="20" ht="48" customHeight="1">
      <c r="A20" s="11" t="inlineStr">
        <is>
          <t>D4. 信用利差与衍生品</t>
        </is>
      </c>
      <c r="B20" s="10" t="inlineStr">
        <is>
          <t>F11-12</t>
        </is>
      </c>
      <c r="C20" s="27" t="inlineStr">
        <is>
          <t>配置与权限管理</t>
        </is>
      </c>
      <c r="D20" s="11" t="inlineStr">
        <is>
          <t>预警规则配置，指标库管理，评级模型管理，用户权限管理，债券池配置管理</t>
        </is>
      </c>
      <c r="E20" s="11" t="inlineStr"/>
      <c r="F20" s="11" t="inlineStr"/>
      <c r="G20" s="42" t="inlineStr">
        <is>
          <t>低</t>
        </is>
      </c>
      <c r="H20" s="13" t="n">
        <v>15</v>
      </c>
      <c r="I20" s="12" t="inlineStr">
        <is>
          <t>P2</t>
        </is>
      </c>
      <c r="J20" s="11" t="inlineStr"/>
    </row>
    <row r="21">
      <c r="A21" s="40" t="inlineStr">
        <is>
          <t>合计 12项功能  |  P1: 0项  |  P2: 12项</t>
        </is>
      </c>
      <c r="H21" s="20">
        <f>SUM(H5:H20)</f>
        <v/>
      </c>
      <c r="I21" s="34" t="inlineStr"/>
      <c r="J21" s="34" t="inlineStr"/>
    </row>
  </sheetData>
  <mergeCells count="8">
    <mergeCell ref="A1:J1"/>
    <mergeCell ref="A5:J5"/>
    <mergeCell ref="A17:J17"/>
    <mergeCell ref="A9:J9"/>
    <mergeCell ref="A21:G21"/>
    <mergeCell ref="A3:J3"/>
    <mergeCell ref="A2:J2"/>
    <mergeCell ref="A13:J13"/>
  </mergeCell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系统详情：投顾服务  |  Investment Advisory</t>
        </is>
      </c>
    </row>
    <row r="2" ht="36" customHeight="1">
      <c r="A2" s="39" t="inlineStr">
        <is>
          <t>战略定位：全链条数字化债券投顾服务，覆盖投资建议、账户分析、投研报告；对应PPT Slide 48   |   来源：Slide 48</t>
        </is>
      </c>
    </row>
    <row r="3" ht="28" customHeight="1">
      <c r="A3" s="40" t="inlineStr">
        <is>
          <t>模块：投顾服务  (Investment Advisory)  |  优先级：P2  |  竞品：衡泰/金证  |  华锐基础：IBOR持仓账薄  |  工期：5月  团队：5人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D1. 投顾工作台</t>
        </is>
      </c>
    </row>
    <row r="6" ht="48" customHeight="1">
      <c r="A6" s="11" t="inlineStr">
        <is>
          <t>D1. 投顾工作台</t>
        </is>
      </c>
      <c r="B6" s="10" t="inlineStr">
        <is>
          <t>F12-01</t>
        </is>
      </c>
      <c r="C6" s="27" t="inlineStr">
        <is>
          <t>投顾操作工作台</t>
        </is>
      </c>
      <c r="D6" s="11" t="inlineStr">
        <is>
          <t>投顾人员管理客户委托，上传研究报告，发送投资建议，查看客户反馈与确认状态</t>
        </is>
      </c>
      <c r="E6" s="11" t="inlineStr"/>
      <c r="F6" s="11" t="inlineStr"/>
      <c r="G6" s="42" t="inlineStr">
        <is>
          <t>中</t>
        </is>
      </c>
      <c r="H6" s="13" t="n">
        <v>20</v>
      </c>
      <c r="I6" s="12" t="inlineStr">
        <is>
          <t>P2</t>
        </is>
      </c>
      <c r="J6" s="11" t="inlineStr"/>
    </row>
    <row r="7" ht="48" customHeight="1">
      <c r="A7" s="11" t="inlineStr">
        <is>
          <t>D1. 投顾工作台</t>
        </is>
      </c>
      <c r="B7" s="10" t="inlineStr">
        <is>
          <t>F12-02</t>
        </is>
      </c>
      <c r="C7" s="27" t="inlineStr">
        <is>
          <t>投资建议书管理</t>
        </is>
      </c>
      <c r="D7" s="11" t="inlineStr">
        <is>
          <t>投资建议书线上生成与审批，客户确认全流程，留痕追溯，电子签收，历史建议书归档</t>
        </is>
      </c>
      <c r="E7" s="11" t="inlineStr"/>
      <c r="F7" s="11" t="inlineStr"/>
      <c r="G7" s="42" t="inlineStr">
        <is>
          <t>中</t>
        </is>
      </c>
      <c r="H7" s="13" t="n">
        <v>20</v>
      </c>
      <c r="I7" s="12" t="inlineStr">
        <is>
          <t>P2</t>
        </is>
      </c>
      <c r="J7" s="11" t="inlineStr"/>
    </row>
    <row r="8" ht="48" customHeight="1">
      <c r="A8" s="11" t="inlineStr">
        <is>
          <t>D1. 投顾工作台</t>
        </is>
      </c>
      <c r="B8" s="10" t="inlineStr">
        <is>
          <t>F12-03</t>
        </is>
      </c>
      <c r="C8" s="27" t="inlineStr">
        <is>
          <t>投研报告服务</t>
        </is>
      </c>
      <c r="D8" s="11" t="inlineStr">
        <is>
          <t>日/周/月研究报告上传与定向推送，RPA自动获取基础数据，报告分类管理与检索</t>
        </is>
      </c>
      <c r="E8" s="11" t="inlineStr"/>
      <c r="F8" s="11" t="inlineStr"/>
      <c r="G8" s="42" t="inlineStr">
        <is>
          <t>中</t>
        </is>
      </c>
      <c r="H8" s="13" t="n">
        <v>15</v>
      </c>
      <c r="I8" s="12" t="inlineStr">
        <is>
          <t>P2</t>
        </is>
      </c>
      <c r="J8" s="11" t="inlineStr"/>
    </row>
    <row r="9" ht="18" customHeight="1">
      <c r="A9" s="40" t="inlineStr">
        <is>
          <t>D2. 客户终端</t>
        </is>
      </c>
    </row>
    <row r="10" ht="48" customHeight="1">
      <c r="A10" s="11" t="inlineStr">
        <is>
          <t>D2. 客户终端</t>
        </is>
      </c>
      <c r="B10" s="10" t="inlineStr">
        <is>
          <t>F12-04</t>
        </is>
      </c>
      <c r="C10" s="27" t="inlineStr">
        <is>
          <t>客户投资服务界面</t>
        </is>
      </c>
      <c r="D10" s="11" t="inlineStr">
        <is>
          <t>客户查看投资建议与分析报告，发送确认，查看账户净值走势、持仓明细、交易明细</t>
        </is>
      </c>
      <c r="E10" s="11" t="inlineStr"/>
      <c r="F10" s="11" t="inlineStr"/>
      <c r="G10" s="42" t="inlineStr">
        <is>
          <t>中</t>
        </is>
      </c>
      <c r="H10" s="13" t="n">
        <v>20</v>
      </c>
      <c r="I10" s="12" t="inlineStr">
        <is>
          <t>P2</t>
        </is>
      </c>
      <c r="J10" s="11" t="inlineStr"/>
    </row>
    <row r="11" ht="48" customHeight="1">
      <c r="A11" s="11" t="inlineStr">
        <is>
          <t>D2. 客户终端</t>
        </is>
      </c>
      <c r="B11" s="10" t="inlineStr">
        <is>
          <t>F12-05</t>
        </is>
      </c>
      <c r="C11" s="27" t="inlineStr">
        <is>
          <t>账户深度分析</t>
        </is>
      </c>
      <c r="D11" s="11" t="inlineStr">
        <is>
          <t>账户净值走势，久期走势，归因分析，估值台账，持仓明细，交易明细，定期分析报告生成</t>
        </is>
      </c>
      <c r="E11" s="11" t="inlineStr"/>
      <c r="F11" s="11" t="inlineStr"/>
      <c r="G11" s="41" t="inlineStr">
        <is>
          <t>高</t>
        </is>
      </c>
      <c r="H11" s="13" t="n">
        <v>25</v>
      </c>
      <c r="I11" s="12" t="inlineStr">
        <is>
          <t>P2</t>
        </is>
      </c>
      <c r="J11" s="11" t="inlineStr"/>
    </row>
    <row r="12" ht="48" customHeight="1">
      <c r="A12" s="11" t="inlineStr">
        <is>
          <t>D2. 客户终端</t>
        </is>
      </c>
      <c r="B12" s="10" t="inlineStr">
        <is>
          <t>F12-06</t>
        </is>
      </c>
      <c r="C12" s="27" t="inlineStr">
        <is>
          <t>交易服务对接</t>
        </is>
      </c>
      <c r="D12" s="11" t="inlineStr">
        <is>
          <t>客户查看投资建议后直接触发交易委托，与销售交易系统对接，全程数字化交易确认</t>
        </is>
      </c>
      <c r="E12" s="11" t="inlineStr"/>
      <c r="F12" s="11" t="inlineStr"/>
      <c r="G12" s="42" t="inlineStr">
        <is>
          <t>中</t>
        </is>
      </c>
      <c r="H12" s="13" t="n">
        <v>15</v>
      </c>
      <c r="I12" s="12" t="inlineStr">
        <is>
          <t>P2</t>
        </is>
      </c>
      <c r="J12" s="11" t="inlineStr"/>
    </row>
    <row r="13" ht="18" customHeight="1">
      <c r="A13" s="43" t="inlineStr">
        <is>
          <t>D3. 基础服务</t>
        </is>
      </c>
    </row>
    <row r="14" ht="48" customHeight="1">
      <c r="A14" s="11" t="inlineStr">
        <is>
          <t>D3. 基础服务</t>
        </is>
      </c>
      <c r="B14" s="10" t="inlineStr">
        <is>
          <t>F12-07</t>
        </is>
      </c>
      <c r="C14" s="27" t="inlineStr">
        <is>
          <t>客户服务中心</t>
        </is>
      </c>
      <c r="D14" s="11" t="inlineStr">
        <is>
          <t>服务中心，消息中心，常见问题，问卷系统，客户满意度管理</t>
        </is>
      </c>
      <c r="E14" s="11" t="inlineStr"/>
      <c r="F14" s="11" t="inlineStr"/>
      <c r="G14" s="42" t="inlineStr">
        <is>
          <t>低</t>
        </is>
      </c>
      <c r="H14" s="13" t="n">
        <v>10</v>
      </c>
      <c r="I14" s="12" t="inlineStr">
        <is>
          <t>P2</t>
        </is>
      </c>
      <c r="J14" s="11" t="inlineStr"/>
    </row>
    <row r="15" ht="48" customHeight="1">
      <c r="A15" s="11" t="inlineStr">
        <is>
          <t>D3. 基础服务</t>
        </is>
      </c>
      <c r="B15" s="10" t="inlineStr">
        <is>
          <t>F12-08</t>
        </is>
      </c>
      <c r="C15" s="27" t="inlineStr">
        <is>
          <t>平台基础管理</t>
        </is>
      </c>
      <c r="D15" s="11" t="inlineStr">
        <is>
          <t>用户管理，账户管理，数据管理，消息群发，登录注册，权限控制</t>
        </is>
      </c>
      <c r="E15" s="11" t="inlineStr"/>
      <c r="F15" s="11" t="inlineStr"/>
      <c r="G15" s="42" t="inlineStr">
        <is>
          <t>低</t>
        </is>
      </c>
      <c r="H15" s="13" t="n">
        <v>10</v>
      </c>
      <c r="I15" s="12" t="inlineStr">
        <is>
          <t>P2</t>
        </is>
      </c>
      <c r="J15" s="11" t="inlineStr"/>
    </row>
    <row r="16">
      <c r="A16" s="40" t="inlineStr">
        <is>
          <t>合计 8项功能  |  P1: 0项  |  P2: 8项</t>
        </is>
      </c>
      <c r="H16" s="20">
        <f>SUM(H5:H15)</f>
        <v/>
      </c>
      <c r="I16" s="34" t="inlineStr"/>
      <c r="J16" s="34" t="inlineStr"/>
    </row>
  </sheetData>
  <mergeCells count="7">
    <mergeCell ref="A1:J1"/>
    <mergeCell ref="A5:J5"/>
    <mergeCell ref="A9:J9"/>
    <mergeCell ref="A3:J3"/>
    <mergeCell ref="A16:G16"/>
    <mergeCell ref="A2:J2"/>
    <mergeCell ref="A13:J13"/>
  </mergeCell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系统详情：TRS收益互换  |  Total Return Swap</t>
        </is>
      </c>
    </row>
    <row r="2" ht="36" customHeight="1">
      <c r="A2" s="39" t="inlineStr">
        <is>
          <t>战略定位：场外衍生品主经纪商客需服务，三端架构（交易端/客户端/管理端），自动对冲与运营一体化；对应PPT Slide 49   |   来源：Slide 49</t>
        </is>
      </c>
    </row>
    <row r="3" ht="28" customHeight="1">
      <c r="A3" s="40" t="inlineStr">
        <is>
          <t>模块：TRS收益互换  (Total Return Swap)  |  优先级：P2  |  竞品：衡泰/森浦(STC)  |  华锐基础：现券交易系统/IBOR/定价平台  |  工期：6月  团队：6人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D1. TRS交易端（内部）</t>
        </is>
      </c>
    </row>
    <row r="6" ht="48" customHeight="1">
      <c r="A6" s="11" t="inlineStr">
        <is>
          <t>D1. TRS交易端（内部）</t>
        </is>
      </c>
      <c r="B6" s="10" t="inlineStr">
        <is>
          <t>F13-01</t>
        </is>
      </c>
      <c r="C6" s="27" t="inlineStr">
        <is>
          <t>报价与成交管理</t>
        </is>
      </c>
      <c r="D6" s="11" t="inlineStr">
        <is>
          <t>一站式报价（市场各渠道 + 内部自营），成交回报处理，请求报价（RFQ），历史确认查询</t>
        </is>
      </c>
      <c r="E6" s="11" t="inlineStr"/>
      <c r="F6" s="11" t="inlineStr"/>
      <c r="G6" s="41" t="inlineStr">
        <is>
          <t>高</t>
        </is>
      </c>
      <c r="H6" s="13" t="n">
        <v>30</v>
      </c>
      <c r="I6" s="12" t="inlineStr">
        <is>
          <t>P2</t>
        </is>
      </c>
      <c r="J6" s="11" t="inlineStr"/>
    </row>
    <row r="7" ht="48" customHeight="1">
      <c r="A7" s="11" t="inlineStr">
        <is>
          <t>D1. TRS交易端（内部）</t>
        </is>
      </c>
      <c r="B7" s="10" t="inlineStr">
        <is>
          <t>F13-02</t>
        </is>
      </c>
      <c r="C7" s="27" t="inlineStr">
        <is>
          <t>自动对冲</t>
        </is>
      </c>
      <c r="D7" s="11" t="inlineStr">
        <is>
          <t>对冲委托自动触发，对冲回报处理，风险校验，组合重叠分析，开平仓设置，对冲策略配置</t>
        </is>
      </c>
      <c r="E7" s="11" t="inlineStr"/>
      <c r="F7" s="11" t="inlineStr"/>
      <c r="G7" s="41" t="inlineStr">
        <is>
          <t>高</t>
        </is>
      </c>
      <c r="H7" s="13" t="n">
        <v>30</v>
      </c>
      <c r="I7" s="12" t="inlineStr">
        <is>
          <t>P2</t>
        </is>
      </c>
      <c r="J7" s="11" t="inlineStr"/>
    </row>
    <row r="8" ht="48" customHeight="1">
      <c r="A8" s="11" t="inlineStr">
        <is>
          <t>D1. TRS交易端（内部）</t>
        </is>
      </c>
      <c r="B8" s="10" t="inlineStr">
        <is>
          <t>F13-03</t>
        </is>
      </c>
      <c r="C8" s="27" t="inlineStr">
        <is>
          <t>行情与资讯</t>
        </is>
      </c>
      <c r="D8" s="11" t="inlineStr">
        <is>
          <t>实时行情矩阵展示，债券行情，我的关注，历史行情，资讯推送</t>
        </is>
      </c>
      <c r="E8" s="11" t="inlineStr"/>
      <c r="F8" s="11" t="inlineStr"/>
      <c r="G8" s="42" t="inlineStr">
        <is>
          <t>中</t>
        </is>
      </c>
      <c r="H8" s="13" t="n">
        <v>15</v>
      </c>
      <c r="I8" s="12" t="inlineStr">
        <is>
          <t>P2</t>
        </is>
      </c>
      <c r="J8" s="11" t="inlineStr"/>
    </row>
    <row r="9" ht="18" customHeight="1">
      <c r="A9" s="40" t="inlineStr">
        <is>
          <t>D2. TRS客户端（外部）</t>
        </is>
      </c>
    </row>
    <row r="10" ht="48" customHeight="1">
      <c r="A10" s="11" t="inlineStr">
        <is>
          <t>D2. TRS客户端（外部）</t>
        </is>
      </c>
      <c r="B10" s="10" t="inlineStr">
        <is>
          <t>F13-04</t>
        </is>
      </c>
      <c r="C10" s="27" t="inlineStr">
        <is>
          <t>开户与账户管理</t>
        </is>
      </c>
      <c r="D10" s="11" t="inlineStr">
        <is>
          <t>客户开户申请，账户信息管理，出入金申请，银行账号绑定，资金管理</t>
        </is>
      </c>
      <c r="E10" s="11" t="inlineStr"/>
      <c r="F10" s="11" t="inlineStr"/>
      <c r="G10" s="42" t="inlineStr">
        <is>
          <t>中</t>
        </is>
      </c>
      <c r="H10" s="13" t="n">
        <v>20</v>
      </c>
      <c r="I10" s="12" t="inlineStr">
        <is>
          <t>P2</t>
        </is>
      </c>
      <c r="J10" s="11" t="inlineStr"/>
    </row>
    <row r="11" ht="48" customHeight="1">
      <c r="A11" s="11" t="inlineStr">
        <is>
          <t>D2. TRS客户端（外部）</t>
        </is>
      </c>
      <c r="B11" s="10" t="inlineStr">
        <is>
          <t>F13-05</t>
        </is>
      </c>
      <c r="C11" s="27" t="inlineStr">
        <is>
          <t>客户自主交易</t>
        </is>
      </c>
      <c r="D11" s="11" t="inlineStr">
        <is>
          <t>客户委托下单，合约持仓查询，标的持仓查询，当日委托，行情矩阵，历史确认，开平仓设置</t>
        </is>
      </c>
      <c r="E11" s="11" t="inlineStr"/>
      <c r="F11" s="11" t="inlineStr"/>
      <c r="G11" s="41" t="inlineStr">
        <is>
          <t>高</t>
        </is>
      </c>
      <c r="H11" s="13" t="n">
        <v>25</v>
      </c>
      <c r="I11" s="12" t="inlineStr">
        <is>
          <t>P2</t>
        </is>
      </c>
      <c r="J11" s="11" t="inlineStr"/>
    </row>
    <row r="12" ht="18" customHeight="1">
      <c r="A12" s="43" t="inlineStr">
        <is>
          <t>D3. TRS管理端（运营）</t>
        </is>
      </c>
    </row>
    <row r="13" ht="48" customHeight="1">
      <c r="A13" s="11" t="inlineStr">
        <is>
          <t>D3. TRS管理端（运营）</t>
        </is>
      </c>
      <c r="B13" s="10" t="inlineStr">
        <is>
          <t>F13-06</t>
        </is>
      </c>
      <c r="C13" s="27" t="inlineStr">
        <is>
          <t>审批管理</t>
        </is>
      </c>
      <c r="D13" s="11" t="inlineStr">
        <is>
          <t>开户申请审批，出入金审批，合约成交审核，多级审批工作流，审批留痕</t>
        </is>
      </c>
      <c r="E13" s="11" t="inlineStr"/>
      <c r="F13" s="11" t="inlineStr"/>
      <c r="G13" s="42" t="inlineStr">
        <is>
          <t>中</t>
        </is>
      </c>
      <c r="H13" s="13" t="n">
        <v>20</v>
      </c>
      <c r="I13" s="12" t="inlineStr">
        <is>
          <t>P2</t>
        </is>
      </c>
      <c r="J13" s="11" t="inlineStr"/>
    </row>
    <row r="14" ht="48" customHeight="1">
      <c r="A14" s="11" t="inlineStr">
        <is>
          <t>D3. TRS管理端（运营）</t>
        </is>
      </c>
      <c r="B14" s="10" t="inlineStr">
        <is>
          <t>F13-07</t>
        </is>
      </c>
      <c r="C14" s="27" t="inlineStr">
        <is>
          <t>运营管理</t>
        </is>
      </c>
      <c r="D14" s="11" t="inlineStr">
        <is>
          <t>对账，库存管理，对冲录入，合约生命周期管理，日终结算处理</t>
        </is>
      </c>
      <c r="E14" s="11" t="inlineStr"/>
      <c r="F14" s="11" t="inlineStr"/>
      <c r="G14" s="41" t="inlineStr">
        <is>
          <t>高</t>
        </is>
      </c>
      <c r="H14" s="13" t="n">
        <v>25</v>
      </c>
      <c r="I14" s="12" t="inlineStr">
        <is>
          <t>P2</t>
        </is>
      </c>
      <c r="J14" s="11" t="inlineStr"/>
    </row>
    <row r="15" ht="48" customHeight="1">
      <c r="A15" s="11" t="inlineStr">
        <is>
          <t>D3. TRS管理端（运营）</t>
        </is>
      </c>
      <c r="B15" s="10" t="inlineStr">
        <is>
          <t>F13-08</t>
        </is>
      </c>
      <c r="C15" s="27" t="inlineStr">
        <is>
          <t>通知与文件生成</t>
        </is>
      </c>
      <c r="D15" s="11" t="inlineStr">
        <is>
          <t>企微通知提醒，确认书/结算单/估值报告/出入金通知自动生成并通过邮箱发送</t>
        </is>
      </c>
      <c r="E15" s="11" t="inlineStr"/>
      <c r="F15" s="11" t="inlineStr"/>
      <c r="G15" s="42" t="inlineStr">
        <is>
          <t>中</t>
        </is>
      </c>
      <c r="H15" s="13" t="n">
        <v>15</v>
      </c>
      <c r="I15" s="12" t="inlineStr">
        <is>
          <t>P2</t>
        </is>
      </c>
      <c r="J15" s="11" t="inlineStr"/>
    </row>
    <row r="16" ht="18" customHeight="1">
      <c r="A16" s="43" t="inlineStr">
        <is>
          <t>D4. 系统集成</t>
        </is>
      </c>
    </row>
    <row r="17" ht="48" customHeight="1">
      <c r="A17" s="11" t="inlineStr">
        <is>
          <t>D4. 系统集成</t>
        </is>
      </c>
      <c r="B17" s="10" t="inlineStr">
        <is>
          <t>F13-09</t>
        </is>
      </c>
      <c r="C17" s="27" t="inlineStr">
        <is>
          <t>外部系统集成</t>
        </is>
      </c>
      <c r="D17" s="11" t="inlineStr">
        <is>
          <t>衡泰系统客户信息同步，QTrade聊天记录同步，银行流水对接，公司邮箱系统集成</t>
        </is>
      </c>
      <c r="E17" s="11" t="inlineStr"/>
      <c r="F17" s="11" t="inlineStr"/>
      <c r="G17" s="41" t="inlineStr">
        <is>
          <t>高</t>
        </is>
      </c>
      <c r="H17" s="13" t="n">
        <v>25</v>
      </c>
      <c r="I17" s="12" t="inlineStr">
        <is>
          <t>P2</t>
        </is>
      </c>
      <c r="J17" s="11" t="inlineStr"/>
    </row>
    <row r="18" ht="48" customHeight="1">
      <c r="A18" s="11" t="inlineStr">
        <is>
          <t>D4. 系统集成</t>
        </is>
      </c>
      <c r="B18" s="10" t="inlineStr">
        <is>
          <t>F13-10</t>
        </is>
      </c>
      <c r="C18" s="27" t="inlineStr">
        <is>
          <t>内部系统集成</t>
        </is>
      </c>
      <c r="D18" s="11" t="inlineStr">
        <is>
          <t>现券交易系统（对冲交易执行），IBOR（持仓记录），定价平台（估值报告），事前风控（合规校验）</t>
        </is>
      </c>
      <c r="E18" s="11" t="inlineStr"/>
      <c r="F18" s="11" t="inlineStr"/>
      <c r="G18" s="41" t="inlineStr">
        <is>
          <t>高</t>
        </is>
      </c>
      <c r="H18" s="13" t="n">
        <v>20</v>
      </c>
      <c r="I18" s="12" t="inlineStr">
        <is>
          <t>P2</t>
        </is>
      </c>
      <c r="J18" s="11" t="inlineStr"/>
    </row>
    <row r="19">
      <c r="A19" s="40" t="inlineStr">
        <is>
          <t>合计 10项功能  |  P1: 0项  |  P2: 10项</t>
        </is>
      </c>
      <c r="H19" s="20">
        <f>SUM(H5:H18)</f>
        <v/>
      </c>
      <c r="I19" s="34" t="inlineStr"/>
      <c r="J19" s="34" t="inlineStr"/>
    </row>
  </sheetData>
  <mergeCells count="8">
    <mergeCell ref="A1:J1"/>
    <mergeCell ref="A5:J5"/>
    <mergeCell ref="A16:J16"/>
    <mergeCell ref="A9:J9"/>
    <mergeCell ref="A3:J3"/>
    <mergeCell ref="A12:J12"/>
    <mergeCell ref="A2:J2"/>
    <mergeCell ref="A19:G19"/>
  </mergeCells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48" customWidth="1" min="4" max="4"/>
    <col width="26" customWidth="1" min="5" max="5"/>
    <col width="20" customWidth="1" min="6" max="6"/>
    <col width="8" customWidth="1" min="7" max="7"/>
    <col width="10" customWidth="1" min="8" max="8"/>
    <col width="7" customWidth="1" min="9" max="9"/>
    <col width="18" customWidth="1" min="10" max="10"/>
  </cols>
  <sheetData>
    <row r="1" ht="24" customHeight="1">
      <c r="A1" s="38" t="inlineStr">
        <is>
          <t>系统详情：做市商系统  |  Market Making</t>
        </is>
      </c>
    </row>
    <row r="2" ht="36" customHeight="1">
      <c r="A2" s="39" t="inlineStr">
        <is>
          <t>战略定位：双边报价引擎，做市义务监控，报价策略自动优化，支持双边/TRS/RFQ/API四种做市模式；对应PPT Slide 53-54   |   来源：Slide 53</t>
        </is>
      </c>
    </row>
    <row r="3" ht="28" customHeight="1">
      <c r="A3" s="40" t="inlineStr">
        <is>
          <t>模块：做市商系统  (Market Making)  |  优先级：P3  |  竞品：Murex/专项  |  华锐基础：ATP报价接口  |  工期：14月  团队：12人</t>
        </is>
      </c>
    </row>
    <row r="4" ht="28" customHeight="1">
      <c r="A4" s="2" t="inlineStr">
        <is>
          <t>功能域</t>
        </is>
      </c>
      <c r="B4" s="2" t="inlineStr">
        <is>
          <t>编号</t>
        </is>
      </c>
      <c r="C4" s="2" t="inlineStr">
        <is>
          <t>功能名称</t>
        </is>
      </c>
      <c r="D4" s="2" t="inlineStr">
        <is>
          <t>功能描述</t>
        </is>
      </c>
      <c r="E4" s="2" t="inlineStr">
        <is>
          <t>验收标准</t>
        </is>
      </c>
      <c r="F4" s="2" t="inlineStr">
        <is>
          <t>集成依赖</t>
        </is>
      </c>
      <c r="G4" s="2" t="inlineStr">
        <is>
          <t>复杂度</t>
        </is>
      </c>
      <c r="H4" s="2" t="inlineStr">
        <is>
          <t>预估(人天)</t>
        </is>
      </c>
      <c r="I4" s="2" t="inlineStr">
        <is>
          <t>优先级</t>
        </is>
      </c>
      <c r="J4" s="2" t="inlineStr">
        <is>
          <t>备注</t>
        </is>
      </c>
    </row>
    <row r="5" ht="18" customHeight="1">
      <c r="A5" s="22" t="inlineStr">
        <is>
          <t>D1. 做市模式管理</t>
        </is>
      </c>
    </row>
    <row r="6" ht="48" customHeight="1">
      <c r="A6" s="11" t="inlineStr">
        <is>
          <t>D1. 做市模式管理</t>
        </is>
      </c>
      <c r="B6" s="10" t="inlineStr">
        <is>
          <t>F15-01</t>
        </is>
      </c>
      <c r="C6" s="27" t="inlineStr">
        <is>
          <t>双边报价做市</t>
        </is>
      </c>
      <c r="D6" s="11" t="inlineStr">
        <is>
          <t>多品种同时双边报价，延迟&lt;5ms，报价宽度动态优化，支持国债/信用债/利率互换多品种做市</t>
        </is>
      </c>
      <c r="E6" s="11" t="inlineStr"/>
      <c r="F6" s="11" t="inlineStr"/>
      <c r="G6" s="28" t="inlineStr">
        <is>
          <t>极高</t>
        </is>
      </c>
      <c r="H6" s="13" t="n">
        <v>70</v>
      </c>
      <c r="I6" s="12" t="inlineStr">
        <is>
          <t>P3</t>
        </is>
      </c>
      <c r="J6" s="11" t="inlineStr"/>
    </row>
    <row r="7" ht="48" customHeight="1">
      <c r="A7" s="11" t="inlineStr">
        <is>
          <t>D1. 做市模式管理</t>
        </is>
      </c>
      <c r="B7" s="10" t="inlineStr">
        <is>
          <t>F15-02</t>
        </is>
      </c>
      <c r="C7" s="27" t="inlineStr">
        <is>
          <t>TRS做市服务</t>
        </is>
      </c>
      <c r="D7" s="11" t="inlineStr">
        <is>
          <t>TRS产品双边报价，与TRS收益互换系统深度集成，对冲报价敞口，支持客户TRS交易</t>
        </is>
      </c>
      <c r="E7" s="11" t="inlineStr"/>
      <c r="F7" s="11" t="inlineStr"/>
      <c r="G7" s="28" t="inlineStr">
        <is>
          <t>极高</t>
        </is>
      </c>
      <c r="H7" s="13" t="n">
        <v>40</v>
      </c>
      <c r="I7" s="12" t="inlineStr">
        <is>
          <t>P3</t>
        </is>
      </c>
      <c r="J7" s="11" t="inlineStr"/>
    </row>
    <row r="8" ht="48" customHeight="1">
      <c r="A8" s="11" t="inlineStr">
        <is>
          <t>D1. 做市模式管理</t>
        </is>
      </c>
      <c r="B8" s="10" t="inlineStr">
        <is>
          <t>F15-03</t>
        </is>
      </c>
      <c r="C8" s="27" t="inlineStr">
        <is>
          <t>RFQ询价响应</t>
        </is>
      </c>
      <c r="D8" s="11" t="inlineStr">
        <is>
          <t>接收客户询价请求，自动生成报价，报价有效期管理，成交确认，询价历史记录</t>
        </is>
      </c>
      <c r="E8" s="11" t="inlineStr"/>
      <c r="F8" s="11" t="inlineStr"/>
      <c r="G8" s="41" t="inlineStr">
        <is>
          <t>高</t>
        </is>
      </c>
      <c r="H8" s="13" t="n">
        <v>25</v>
      </c>
      <c r="I8" s="12" t="inlineStr">
        <is>
          <t>P3</t>
        </is>
      </c>
      <c r="J8" s="11" t="inlineStr"/>
    </row>
    <row r="9" ht="48" customHeight="1">
      <c r="A9" s="11" t="inlineStr">
        <is>
          <t>D1. 做市模式管理</t>
        </is>
      </c>
      <c r="B9" s="10" t="inlineStr">
        <is>
          <t>F15-04</t>
        </is>
      </c>
      <c r="C9" s="27" t="inlineStr">
        <is>
          <t>API程序化做市</t>
        </is>
      </c>
      <c r="D9" s="11" t="inlineStr">
        <is>
          <t>对外提供做市API接口，支持程序化交易对手接入，流式报价推送，API鉴权与频率限制</t>
        </is>
      </c>
      <c r="E9" s="11" t="inlineStr"/>
      <c r="F9" s="11" t="inlineStr"/>
      <c r="G9" s="41" t="inlineStr">
        <is>
          <t>高</t>
        </is>
      </c>
      <c r="H9" s="13" t="n">
        <v>25</v>
      </c>
      <c r="I9" s="12" t="inlineStr">
        <is>
          <t>P3</t>
        </is>
      </c>
      <c r="J9" s="11" t="inlineStr"/>
    </row>
    <row r="10" ht="18" customHeight="1">
      <c r="A10" s="40" t="inlineStr">
        <is>
          <t>D2. 报价策略管理</t>
        </is>
      </c>
    </row>
    <row r="11" ht="48" customHeight="1">
      <c r="A11" s="11" t="inlineStr">
        <is>
          <t>D2. 报价策略管理</t>
        </is>
      </c>
      <c r="B11" s="10" t="inlineStr">
        <is>
          <t>F15-05</t>
        </is>
      </c>
      <c r="C11" s="27" t="inlineStr">
        <is>
          <t>报价策略配置</t>
        </is>
      </c>
      <c r="D11" s="11" t="inlineStr">
        <is>
          <t>各品种做市参数配置（报价宽度/报价量/报价频率），分时段策略，按交易对手差异化报价</t>
        </is>
      </c>
      <c r="E11" s="11" t="inlineStr"/>
      <c r="F11" s="11" t="inlineStr"/>
      <c r="G11" s="42" t="inlineStr">
        <is>
          <t>中</t>
        </is>
      </c>
      <c r="H11" s="13" t="n">
        <v>20</v>
      </c>
      <c r="I11" s="12" t="inlineStr">
        <is>
          <t>P3</t>
        </is>
      </c>
      <c r="J11" s="11" t="inlineStr"/>
    </row>
    <row r="12" ht="48" customHeight="1">
      <c r="A12" s="11" t="inlineStr">
        <is>
          <t>D2. 报价策略管理</t>
        </is>
      </c>
      <c r="B12" s="10" t="inlineStr">
        <is>
          <t>F15-06</t>
        </is>
      </c>
      <c r="C12" s="27" t="inlineStr">
        <is>
          <t>报价优化算法</t>
        </is>
      </c>
      <c r="D12" s="11" t="inlineStr">
        <is>
          <t>基于市场微结构理论动态调整bid-ask spread，流动性自适应调节，机器学习辅助报价优化</t>
        </is>
      </c>
      <c r="E12" s="11" t="inlineStr"/>
      <c r="F12" s="11" t="inlineStr"/>
      <c r="G12" s="28" t="inlineStr">
        <is>
          <t>极高</t>
        </is>
      </c>
      <c r="H12" s="13" t="n">
        <v>50</v>
      </c>
      <c r="I12" s="12" t="inlineStr">
        <is>
          <t>P3</t>
        </is>
      </c>
      <c r="J12" s="11" t="inlineStr"/>
    </row>
    <row r="13" ht="48" customHeight="1">
      <c r="A13" s="11" t="inlineStr">
        <is>
          <t>D2. 报价策略管理</t>
        </is>
      </c>
      <c r="B13" s="10" t="inlineStr">
        <is>
          <t>F15-07</t>
        </is>
      </c>
      <c r="C13" s="27" t="inlineStr">
        <is>
          <t>债券过滤与筛选</t>
        </is>
      </c>
      <c r="D13" s="11" t="inlineStr">
        <is>
          <t>做市标的券池管理，流动性分级筛选，黑名单管理，临时暂停做市规则</t>
        </is>
      </c>
      <c r="E13" s="11" t="inlineStr"/>
      <c r="F13" s="11" t="inlineStr"/>
      <c r="G13" s="42" t="inlineStr">
        <is>
          <t>低</t>
        </is>
      </c>
      <c r="H13" s="13" t="n">
        <v>10</v>
      </c>
      <c r="I13" s="12" t="inlineStr">
        <is>
          <t>P3</t>
        </is>
      </c>
      <c r="J13" s="11" t="inlineStr"/>
    </row>
    <row r="14" ht="18" customHeight="1">
      <c r="A14" s="43" t="inlineStr">
        <is>
          <t>D3. 做市义务监控</t>
        </is>
      </c>
    </row>
    <row r="15" ht="48" customHeight="1">
      <c r="A15" s="11" t="inlineStr">
        <is>
          <t>D3. 做市义务监控</t>
        </is>
      </c>
      <c r="B15" s="10" t="inlineStr">
        <is>
          <t>F15-08</t>
        </is>
      </c>
      <c r="C15" s="27" t="inlineStr">
        <is>
          <t>做市义务实时监控</t>
        </is>
      </c>
      <c r="D15" s="11" t="inlineStr">
        <is>
          <t>实时监控做市义务完成情况（报价连续性/报价宽度/报价量达标），义务违规预警，监管报告生成</t>
        </is>
      </c>
      <c r="E15" s="11" t="inlineStr"/>
      <c r="F15" s="11" t="inlineStr"/>
      <c r="G15" s="41" t="inlineStr">
        <is>
          <t>高</t>
        </is>
      </c>
      <c r="H15" s="13" t="n">
        <v>30</v>
      </c>
      <c r="I15" s="12" t="inlineStr">
        <is>
          <t>P3</t>
        </is>
      </c>
      <c r="J15" s="11" t="inlineStr"/>
    </row>
    <row r="16" ht="48" customHeight="1">
      <c r="A16" s="11" t="inlineStr">
        <is>
          <t>D3. 做市义务监控</t>
        </is>
      </c>
      <c r="B16" s="10" t="inlineStr">
        <is>
          <t>F15-09</t>
        </is>
      </c>
      <c r="C16" s="27" t="inlineStr">
        <is>
          <t>做市行情展示</t>
        </is>
      </c>
      <c r="D16" s="11" t="inlineStr">
        <is>
          <t>做市报价行情矩阵，实时价格展示，报价历史回放，市场最优报价对比，中签率统计</t>
        </is>
      </c>
      <c r="E16" s="11" t="inlineStr"/>
      <c r="F16" s="11" t="inlineStr"/>
      <c r="G16" s="42" t="inlineStr">
        <is>
          <t>中</t>
        </is>
      </c>
      <c r="H16" s="13" t="n">
        <v>20</v>
      </c>
      <c r="I16" s="12" t="inlineStr">
        <is>
          <t>P3</t>
        </is>
      </c>
      <c r="J16" s="11" t="inlineStr"/>
    </row>
    <row r="17" ht="18" customHeight="1">
      <c r="A17" s="43" t="inlineStr">
        <is>
          <t>D4. 订单与风险管理</t>
        </is>
      </c>
    </row>
    <row r="18" ht="48" customHeight="1">
      <c r="A18" s="11" t="inlineStr">
        <is>
          <t>D4. 订单与风险管理</t>
        </is>
      </c>
      <c r="B18" s="10" t="inlineStr">
        <is>
          <t>F15-10</t>
        </is>
      </c>
      <c r="C18" s="27" t="inlineStr">
        <is>
          <t>做市订单管理</t>
        </is>
      </c>
      <c r="D18" s="11" t="inlineStr">
        <is>
          <t>做市委托生成、撤改、成交回报处理，订单状态实时跟踪，批量撤单，做市台账</t>
        </is>
      </c>
      <c r="E18" s="11" t="inlineStr"/>
      <c r="F18" s="11" t="inlineStr"/>
      <c r="G18" s="41" t="inlineStr">
        <is>
          <t>高</t>
        </is>
      </c>
      <c r="H18" s="13" t="n">
        <v>30</v>
      </c>
      <c r="I18" s="12" t="inlineStr">
        <is>
          <t>P3</t>
        </is>
      </c>
      <c r="J18" s="11" t="inlineStr"/>
    </row>
    <row r="19" ht="48" customHeight="1">
      <c r="A19" s="11" t="inlineStr">
        <is>
          <t>D4. 订单与风险管理</t>
        </is>
      </c>
      <c r="B19" s="10" t="inlineStr">
        <is>
          <t>F15-11</t>
        </is>
      </c>
      <c r="C19" s="27" t="inlineStr">
        <is>
          <t>库存风险实时管理</t>
        </is>
      </c>
      <c r="D19" s="11" t="inlineStr">
        <is>
          <t>做市库存PnL实时监控，Delta对冲自动触发，库存敞口上限控制，实时盯市损益</t>
        </is>
      </c>
      <c r="E19" s="11" t="inlineStr"/>
      <c r="F19" s="11" t="inlineStr"/>
      <c r="G19" s="28" t="inlineStr">
        <is>
          <t>极高</t>
        </is>
      </c>
      <c r="H19" s="13" t="n">
        <v>60</v>
      </c>
      <c r="I19" s="12" t="inlineStr">
        <is>
          <t>P3</t>
        </is>
      </c>
      <c r="J19" s="11" t="inlineStr"/>
    </row>
    <row r="20" ht="48" customHeight="1">
      <c r="A20" s="11" t="inlineStr">
        <is>
          <t>D4. 订单与风险管理</t>
        </is>
      </c>
      <c r="B20" s="10" t="inlineStr">
        <is>
          <t>F15-12</t>
        </is>
      </c>
      <c r="C20" s="27" t="inlineStr">
        <is>
          <t>竞争力分析</t>
        </is>
      </c>
      <c r="D20" s="11" t="inlineStr">
        <is>
          <t>与市场最优报价对比，中签率分析，报价表现统计，策略调优建议，竞争对手报价分析</t>
        </is>
      </c>
      <c r="E20" s="11" t="inlineStr"/>
      <c r="F20" s="11" t="inlineStr"/>
      <c r="G20" s="41" t="inlineStr">
        <is>
          <t>高</t>
        </is>
      </c>
      <c r="H20" s="13" t="n">
        <v>25</v>
      </c>
      <c r="I20" s="12" t="inlineStr">
        <is>
          <t>P3</t>
        </is>
      </c>
      <c r="J20" s="11" t="inlineStr"/>
    </row>
    <row r="21">
      <c r="A21" s="40" t="inlineStr">
        <is>
          <t>合计 12项功能  |  P1: 0项  |  P2: 12项</t>
        </is>
      </c>
      <c r="H21" s="20">
        <f>SUM(H5:H20)</f>
        <v/>
      </c>
      <c r="I21" s="34" t="inlineStr"/>
      <c r="J21" s="34" t="inlineStr"/>
    </row>
  </sheetData>
  <mergeCells count="8">
    <mergeCell ref="A1:J1"/>
    <mergeCell ref="A5:J5"/>
    <mergeCell ref="A14:J14"/>
    <mergeCell ref="A17:J17"/>
    <mergeCell ref="A21:G21"/>
    <mergeCell ref="A3:J3"/>
    <mergeCell ref="A2:J2"/>
    <mergeCell ref="A10:J1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2026-04-30T00:05:42Z</dcterms:created>
  <dcterms:modified xmlns:dcterms="http://purl.org/dc/terms/" xmlns:xsi="http://www.w3.org/2001/XMLSchema-instance" xsi:type="dcterms:W3CDTF">2026-04-30T00:05:43Z</dcterms:modified>
</cp:coreProperties>
</file>