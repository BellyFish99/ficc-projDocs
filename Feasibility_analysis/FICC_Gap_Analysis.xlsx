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4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3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4</v>
      </c>
      <c r="N14" s="10" t="n">
        <v>4</v>
      </c>
      <c r="O14" s="13" t="n">
        <v>14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</t>
        </is>
      </c>
      <c r="M15" s="10" t="n">
        <v>5</v>
      </c>
      <c r="N15" s="10" t="n">
        <v>5</v>
      </c>
      <c r="O15" s="13" t="n">
        <v>20</v>
      </c>
      <c r="P15" s="11" t="inlineStr">
        <is>
          <t>场外衍生品主经纪商客需服务，覆盖TRS交易端/客户端/管理端及自动对冲；对应PPT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信用利差分析</t>
        </is>
      </c>
      <c r="E168" s="11" t="inlineStr">
        <is>
          <t>行业/评级/期限信用利差曲线实时计算，历史分位数分析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CDS/CLN定价</t>
        </is>
      </c>
      <c r="E169" s="11" t="inlineStr">
        <is>
          <t>信用违约互换定价，ISDA标准，生存概率曲线校准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50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信用评级动态监控</t>
        </is>
      </c>
      <c r="E170" s="11" t="inlineStr">
        <is>
          <t>对接外部评级机构（中诚信/联合/大公），评级下调预警</t>
        </is>
      </c>
      <c r="F170" s="11" t="inlineStr">
        <is>
          <t>功能测试通过/正确率100%</t>
        </is>
      </c>
      <c r="G170" s="24" t="inlineStr">
        <is>
          <t>中</t>
        </is>
      </c>
      <c r="H170" s="13" t="n">
        <v>20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违约概率（PD）建模</t>
        </is>
      </c>
      <c r="E171" s="11" t="inlineStr">
        <is>
          <t>结构化Merton模型+市场隐含PD，信用风险计量</t>
        </is>
      </c>
      <c r="F171" s="11" t="inlineStr">
        <is>
          <t>功能完整/边界测试/集成冒烟/性能基线</t>
        </is>
      </c>
      <c r="G171" s="23" t="inlineStr">
        <is>
          <t>高</t>
        </is>
      </c>
      <c r="H171" s="13" t="n">
        <v>40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集中度限额管理</t>
        </is>
      </c>
      <c r="E172" s="11" t="inlineStr">
        <is>
          <t>行业/发行人/评级集中度多维限额，超限预警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0" customHeight="1">
      <c r="A173" s="26" t="inlineStr">
        <is>
          <t>【P2】 投顾服务  (Investment Advisory)</t>
        </is>
      </c>
    </row>
    <row r="174" ht="28" customHeight="1">
      <c r="A174" s="11" t="inlineStr">
        <is>
          <t>投顾服务</t>
        </is>
      </c>
      <c r="B174" s="10" t="inlineStr">
        <is>
          <t>P2</t>
        </is>
      </c>
      <c r="C174" s="10" t="inlineStr">
        <is>
          <t>F12-01</t>
        </is>
      </c>
      <c r="D174" s="27" t="inlineStr">
        <is>
          <t>投顾工作台</t>
        </is>
      </c>
      <c r="E174" s="11" t="inlineStr">
        <is>
          <t>投顾人员操作界面，管理客户委托，上传研究报告，发送投资建议，查看客户反馈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投顾服务</t>
        </is>
      </c>
      <c r="B175" s="10" t="inlineStr">
        <is>
          <t>P2</t>
        </is>
      </c>
      <c r="C175" s="10" t="inlineStr">
        <is>
          <t>F12-02</t>
        </is>
      </c>
      <c r="D175" s="27" t="inlineStr">
        <is>
          <t>客户终端</t>
        </is>
      </c>
      <c r="E175" s="11" t="inlineStr">
        <is>
          <t>客户查看投资建议与分析报告，确认交易服务，查看账户净值走势、持仓明细、交易明细</t>
        </is>
      </c>
      <c r="F175" s="11" t="inlineStr">
        <is>
          <t>功能测试通过/正确率100%</t>
        </is>
      </c>
      <c r="G175" s="24" t="inlineStr">
        <is>
          <t>中</t>
        </is>
      </c>
      <c r="H175" s="13" t="n">
        <v>20</v>
      </c>
    </row>
    <row r="176" ht="28" customHeight="1">
      <c r="A176" s="11" t="inlineStr">
        <is>
          <t>投顾服务</t>
        </is>
      </c>
      <c r="B176" s="10" t="inlineStr">
        <is>
          <t>P2</t>
        </is>
      </c>
      <c r="C176" s="10" t="inlineStr">
        <is>
          <t>F12-03</t>
        </is>
      </c>
      <c r="D176" s="27" t="inlineStr">
        <is>
          <t>投资建议书管理</t>
        </is>
      </c>
      <c r="E176" s="11" t="inlineStr">
        <is>
          <t>投资建议书线上生成、审批、确认全流程，留痕追溯，客户电子签收</t>
        </is>
      </c>
      <c r="F176" s="11" t="inlineStr">
        <is>
          <t>功能测试通过/正确率100%</t>
        </is>
      </c>
      <c r="G176" s="24" t="inlineStr">
        <is>
          <t>中</t>
        </is>
      </c>
      <c r="H176" s="13" t="n">
        <v>15</v>
      </c>
    </row>
    <row r="177" ht="28" customHeight="1">
      <c r="A177" s="11" t="inlineStr">
        <is>
          <t>投顾服务</t>
        </is>
      </c>
      <c r="B177" s="10" t="inlineStr">
        <is>
          <t>P2</t>
        </is>
      </c>
      <c r="C177" s="10" t="inlineStr">
        <is>
          <t>F12-04</t>
        </is>
      </c>
      <c r="D177" s="27" t="inlineStr">
        <is>
          <t>账户分析报告</t>
        </is>
      </c>
      <c r="E177" s="11" t="inlineStr">
        <is>
          <t>账户净值走势、久期走势、归因分析、估值台账等核心数据展示及定期报告生成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25</v>
      </c>
    </row>
    <row r="178" ht="28" customHeight="1">
      <c r="A178" s="11" t="inlineStr">
        <is>
          <t>投顾服务</t>
        </is>
      </c>
      <c r="B178" s="10" t="inlineStr">
        <is>
          <t>P2</t>
        </is>
      </c>
      <c r="C178" s="10" t="inlineStr">
        <is>
          <t>F12-05</t>
        </is>
      </c>
      <c r="D178" s="27" t="inlineStr">
        <is>
          <t>投研报告服务</t>
        </is>
      </c>
      <c r="E178" s="11" t="inlineStr">
        <is>
          <t>日/周/月研究报告上传与推送，RPA自动获取基础数据，报告分类管理</t>
        </is>
      </c>
      <c r="F178" s="11" t="inlineStr">
        <is>
          <t>功能测试通过/正确率100%</t>
        </is>
      </c>
      <c r="G178" s="24" t="inlineStr">
        <is>
          <t>中</t>
        </is>
      </c>
      <c r="H178" s="13" t="n">
        <v>15</v>
      </c>
    </row>
    <row r="179" ht="28" customHeight="1">
      <c r="A179" s="11" t="inlineStr">
        <is>
          <t>投顾服务</t>
        </is>
      </c>
      <c r="B179" s="10" t="inlineStr">
        <is>
          <t>P2</t>
        </is>
      </c>
      <c r="C179" s="10" t="inlineStr">
        <is>
          <t>F12-06</t>
        </is>
      </c>
      <c r="D179" s="27" t="inlineStr">
        <is>
          <t>客户服务与基础服务</t>
        </is>
      </c>
      <c r="E179" s="11" t="inlineStr">
        <is>
          <t>服务中心、消息中心、问卷系统；用户/账户/数据管理，消息群发，登录注册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10</v>
      </c>
    </row>
    <row r="180" ht="20" customHeight="1">
      <c r="A180" s="26" t="inlineStr">
        <is>
          <t>【P2】 TRS收益互换  (Total Return Swap)</t>
        </is>
      </c>
    </row>
    <row r="181" ht="28" customHeight="1">
      <c r="A181" s="11" t="inlineStr">
        <is>
          <t>TRS收益互换</t>
        </is>
      </c>
      <c r="B181" s="10" t="inlineStr">
        <is>
          <t>P2</t>
        </is>
      </c>
      <c r="C181" s="10" t="inlineStr">
        <is>
          <t>F13-01</t>
        </is>
      </c>
      <c r="D181" s="27" t="inlineStr">
        <is>
          <t>TRS交易端</t>
        </is>
      </c>
      <c r="E181" s="11" t="inlineStr">
        <is>
          <t>报价提供，成交回报，对冲委托与自动对冲，请求报价，行情与资讯，历史确认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30</v>
      </c>
    </row>
    <row r="182" ht="28" customHeight="1">
      <c r="A182" s="11" t="inlineStr">
        <is>
          <t>TRS收益互换</t>
        </is>
      </c>
      <c r="B182" s="10" t="inlineStr">
        <is>
          <t>P2</t>
        </is>
      </c>
      <c r="C182" s="10" t="inlineStr">
        <is>
          <t>F13-02</t>
        </is>
      </c>
      <c r="D182" s="27" t="inlineStr">
        <is>
          <t>TRS客户端</t>
        </is>
      </c>
      <c r="E182" s="11" t="inlineStr">
        <is>
          <t>开户申请，客户委托，出入金申请，合约持仓，标的持仓，资金管理，行情矩阵，自主下单</t>
        </is>
      </c>
      <c r="F182" s="11" t="inlineStr">
        <is>
          <t>功能完整/边界测试/集成冒烟/性能基线</t>
        </is>
      </c>
      <c r="G182" s="23" t="inlineStr">
        <is>
          <t>高</t>
        </is>
      </c>
      <c r="H182" s="13" t="n">
        <v>25</v>
      </c>
    </row>
    <row r="183" ht="28" customHeight="1">
      <c r="A183" s="11" t="inlineStr">
        <is>
          <t>TRS收益互换</t>
        </is>
      </c>
      <c r="B183" s="10" t="inlineStr">
        <is>
          <t>P2</t>
        </is>
      </c>
      <c r="C183" s="10" t="inlineStr">
        <is>
          <t>F13-03</t>
        </is>
      </c>
      <c r="D183" s="27" t="inlineStr">
        <is>
          <t>TRS管理端</t>
        </is>
      </c>
      <c r="E183" s="11" t="inlineStr">
        <is>
          <t>开户申请审批，合约成交管理，出入金审批，运营管理，对账，库存，对冲录入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20</v>
      </c>
    </row>
    <row r="184" ht="28" customHeight="1">
      <c r="A184" s="11" t="inlineStr">
        <is>
          <t>TRS收益互换</t>
        </is>
      </c>
      <c r="B184" s="10" t="inlineStr">
        <is>
          <t>P2</t>
        </is>
      </c>
      <c r="C184" s="10" t="inlineStr">
        <is>
          <t>F13-04</t>
        </is>
      </c>
      <c r="D184" s="27" t="inlineStr">
        <is>
          <t>自动对冲</t>
        </is>
      </c>
      <c r="E184" s="11" t="inlineStr">
        <is>
          <t>对冲委托自动触发，对冲回报处理，风险校验，组合重叠分析，开平仓设置</t>
        </is>
      </c>
      <c r="F184" s="11" t="inlineStr">
        <is>
          <t>功能完整/边界测试/集成冒烟/性能基线</t>
        </is>
      </c>
      <c r="G184" s="23" t="inlineStr">
        <is>
          <t>高</t>
        </is>
      </c>
      <c r="H184" s="13" t="n">
        <v>25</v>
      </c>
    </row>
    <row r="185" ht="28" customHeight="1">
      <c r="A185" s="11" t="inlineStr">
        <is>
          <t>TRS收益互换</t>
        </is>
      </c>
      <c r="B185" s="10" t="inlineStr">
        <is>
          <t>P2</t>
        </is>
      </c>
      <c r="C185" s="10" t="inlineStr">
        <is>
          <t>F13-05</t>
        </is>
      </c>
      <c r="D185" s="27" t="inlineStr">
        <is>
          <t>通知与确认文件</t>
        </is>
      </c>
      <c r="E185" s="11" t="inlineStr">
        <is>
          <t>企微通知提醒，确认书/结算单/估值报告/出入金通知自动生成并通过邮箱发送</t>
        </is>
      </c>
      <c r="F185" s="11" t="inlineStr">
        <is>
          <t>功能测试通过/正确率100%</t>
        </is>
      </c>
      <c r="G185" s="24" t="inlineStr">
        <is>
          <t>中</t>
        </is>
      </c>
      <c r="H185" s="13" t="n">
        <v>15</v>
      </c>
    </row>
    <row r="186" ht="28" customHeight="1">
      <c r="A186" s="11" t="inlineStr">
        <is>
          <t>TRS收益互换</t>
        </is>
      </c>
      <c r="B186" s="10" t="inlineStr">
        <is>
          <t>P2</t>
        </is>
      </c>
      <c r="C186" s="10" t="inlineStr">
        <is>
          <t>F13-06</t>
        </is>
      </c>
      <c r="D186" s="27" t="inlineStr">
        <is>
          <t>系统集成</t>
        </is>
      </c>
      <c r="E186" s="11" t="inlineStr">
        <is>
          <t>与衡泰系统客户信息同步，QTrade聊天记录同步，交易管理系统对接，银行流水对接</t>
        </is>
      </c>
      <c r="F186" s="11" t="inlineStr">
        <is>
          <t>功能完整/边界测试/集成冒烟/性能基线</t>
        </is>
      </c>
      <c r="G186" s="23" t="inlineStr">
        <is>
          <t>高</t>
        </is>
      </c>
      <c r="H186" s="13" t="n">
        <v>25</v>
      </c>
    </row>
    <row r="187" ht="20" customHeight="1">
      <c r="A187" s="29" t="inlineStr">
        <is>
          <t>【P3】 做市商系统  (Market Making)</t>
        </is>
      </c>
    </row>
    <row r="188" ht="28" customHeight="1">
      <c r="A188" s="16" t="inlineStr">
        <is>
          <t>做市商系统</t>
        </is>
      </c>
      <c r="B188" s="15" t="inlineStr">
        <is>
          <t>P3</t>
        </is>
      </c>
      <c r="C188" s="15" t="inlineStr">
        <is>
          <t>F15-01</t>
        </is>
      </c>
      <c r="D188" s="30" t="inlineStr">
        <is>
          <t>双边报价引擎</t>
        </is>
      </c>
      <c r="E188" s="16" t="inlineStr">
        <is>
          <t>多品种同时双边报价，延迟&lt;5ms，报价宽度动态优化</t>
        </is>
      </c>
      <c r="F188" s="16" t="inlineStr">
        <is>
          <t>p99延迟/误差率/精度验证/压测10k TPS</t>
        </is>
      </c>
      <c r="G188" s="28" t="inlineStr">
        <is>
          <t>极高</t>
        </is>
      </c>
      <c r="H188" s="18" t="n">
        <v>70</v>
      </c>
    </row>
    <row r="189" ht="28" customHeight="1">
      <c r="A189" s="16" t="inlineStr">
        <is>
          <t>做市商系统</t>
        </is>
      </c>
      <c r="B189" s="15" t="inlineStr">
        <is>
          <t>P3</t>
        </is>
      </c>
      <c r="C189" s="15" t="inlineStr">
        <is>
          <t>F15-02</t>
        </is>
      </c>
      <c r="D189" s="30" t="inlineStr">
        <is>
          <t>库存风险实时管理</t>
        </is>
      </c>
      <c r="E189" s="16" t="inlineStr">
        <is>
          <t>做市库存PnL实时监控，Delta对冲自动触发</t>
        </is>
      </c>
      <c r="F189" s="16" t="inlineStr">
        <is>
          <t>p99延迟/误差率/精度验证/压测10k TPS</t>
        </is>
      </c>
      <c r="G189" s="28" t="inlineStr">
        <is>
          <t>极高</t>
        </is>
      </c>
      <c r="H189" s="18" t="n">
        <v>60</v>
      </c>
    </row>
    <row r="190" ht="28" customHeight="1">
      <c r="A190" s="16" t="inlineStr">
        <is>
          <t>做市商系统</t>
        </is>
      </c>
      <c r="B190" s="15" t="inlineStr">
        <is>
          <t>P3</t>
        </is>
      </c>
      <c r="C190" s="15" t="inlineStr">
        <is>
          <t>F15-03</t>
        </is>
      </c>
      <c r="D190" s="30" t="inlineStr">
        <is>
          <t>报价优化算法</t>
        </is>
      </c>
      <c r="E190" s="16" t="inlineStr">
        <is>
          <t>基于市场微结构理论动态调整bid-ask spread</t>
        </is>
      </c>
      <c r="F190" s="16" t="inlineStr">
        <is>
          <t>p99延迟/误差率/精度验证/压测10k TPS</t>
        </is>
      </c>
      <c r="G190" s="28" t="inlineStr">
        <is>
          <t>极高</t>
        </is>
      </c>
      <c r="H190" s="18" t="n">
        <v>50</v>
      </c>
    </row>
    <row r="191" ht="28" customHeight="1">
      <c r="A191" s="16" t="inlineStr">
        <is>
          <t>做市商系统</t>
        </is>
      </c>
      <c r="B191" s="15" t="inlineStr">
        <is>
          <t>P3</t>
        </is>
      </c>
      <c r="C191" s="15" t="inlineStr">
        <is>
          <t>F15-04</t>
        </is>
      </c>
      <c r="D191" s="30" t="inlineStr">
        <is>
          <t>竞争力分析</t>
        </is>
      </c>
      <c r="E191" s="16" t="inlineStr">
        <is>
          <t>与市场最优报价对比，中签率分析，策略调优</t>
        </is>
      </c>
      <c r="F191" s="16" t="inlineStr">
        <is>
          <t>功能完整/边界测试/集成冒烟/性能基线</t>
        </is>
      </c>
      <c r="G191" s="23" t="inlineStr">
        <is>
          <t>高</t>
        </is>
      </c>
      <c r="H191" s="18" t="n">
        <v>25</v>
      </c>
    </row>
    <row r="192" ht="28" customHeight="1">
      <c r="A192" s="16" t="inlineStr">
        <is>
          <t>做市商系统</t>
        </is>
      </c>
      <c r="B192" s="15" t="inlineStr">
        <is>
          <t>P3</t>
        </is>
      </c>
      <c r="C192" s="15" t="inlineStr">
        <is>
          <t>F15-05</t>
        </is>
      </c>
      <c r="D192" s="30" t="inlineStr">
        <is>
          <t>交易对手管理集成</t>
        </is>
      </c>
      <c r="E192" s="16" t="inlineStr">
        <is>
          <t>做市交易对手信用实时检查，额度占用同步更新</t>
        </is>
      </c>
      <c r="F192" s="16" t="inlineStr">
        <is>
          <t>功能测试通过/正确率100%</t>
        </is>
      </c>
      <c r="G192" s="24" t="inlineStr">
        <is>
          <t>中</t>
        </is>
      </c>
      <c r="H192" s="18" t="n">
        <v>20</v>
      </c>
    </row>
    <row r="193">
      <c r="A193" s="19" t="inlineStr">
        <is>
          <t>总计功能数 / Total Function Points</t>
        </is>
      </c>
      <c r="H193" s="20">
        <f>SUM(H3:H192)</f>
        <v/>
      </c>
    </row>
  </sheetData>
  <mergeCells count="16">
    <mergeCell ref="A143:H143"/>
    <mergeCell ref="A193:G193"/>
    <mergeCell ref="A3:H3"/>
    <mergeCell ref="A101:H101"/>
    <mergeCell ref="A130:H130"/>
    <mergeCell ref="A180:H180"/>
    <mergeCell ref="A187:H187"/>
    <mergeCell ref="A60:H60"/>
    <mergeCell ref="A112:H112"/>
    <mergeCell ref="A68:H68"/>
    <mergeCell ref="A1:H1"/>
    <mergeCell ref="A173:H173"/>
    <mergeCell ref="A31:H31"/>
    <mergeCell ref="A159:H159"/>
    <mergeCell ref="A88:H88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2026-04-29T11:53:20Z</dcterms:created>
  <dcterms:modified xmlns:dcterms="http://purl.org/dc/terms/" xmlns:xsi="http://www.w3.org/2001/XMLSchema-instance" xsi:type="dcterms:W3CDTF">2026-04-29T11:53:21Z</dcterms:modified>
</cp:coreProperties>
</file>