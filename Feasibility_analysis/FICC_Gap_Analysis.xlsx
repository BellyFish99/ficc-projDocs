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衡泰(ABOR)</t>
        </is>
      </c>
      <c r="L3" s="5" t="inlineStr">
        <is>
          <t>AMI/AMDB账户体系</t>
        </is>
      </c>
      <c r="M3" s="3" t="n">
        <v>13</v>
      </c>
      <c r="N3" s="3" t="n">
        <v>14</v>
      </c>
      <c r="O3" s="8" t="n">
        <v>133</v>
      </c>
      <c r="P3" s="5" t="inlineStr">
        <is>
          <t>整个FICC平台的账薄主干，27项功能（新增F01-29数据质量监控）覆盖持仓/现金/估值/事件/对账/监管报送/试算/抵押品/数据质量全链路；核心创新：ML-based reconciliation (F01-14)，DQ-first foundation (F01-29)，CA-aware sandbox (F01-25)；合规检查规则与执行由M06负责，情景P&amp;L分析由M04+M07负责，IBOR为SSoT数据源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15</v>
      </c>
      <c r="N6" s="3" t="n">
        <v>12</v>
      </c>
      <c r="O6" s="8" t="n">
        <v>135</v>
      </c>
      <c r="P6" s="5" t="inlineStr">
        <is>
          <t>替代衡泰老旧系统，信创切入口；本模块职责为风险计算与治理（VaR引擎/限额执行/CVA-PD-LGD/模型治理/监管报送）；Greeks/DV01/CS01/KRD由M09 F09-10统一计算（M04 F04-08/F04-09为消费聚合方），曲线/曲面由M09 F09-04/F09-05独占；P&amp;L归因由M07 F07-07/F07-22负责（M04不重复Campisi）；流动性LVaR/TCA由M07 F07-14/F07-20负责；新增F04-22(Phase 2 pre-trade)、F04-23(模型治理与回测SSoT)；对应PPT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15</v>
      </c>
      <c r="N9" s="3" t="n">
        <v>14</v>
      </c>
      <c r="O9" s="8" t="n">
        <v>220</v>
      </c>
      <c r="P9" s="5" t="inlineStr">
        <is>
          <t>全资产组合管理工作台，十五大核心能力：全资产持仓模型/QP优化/Shadow Portfolio/Campisi 2.0固收归因/Brinson归因/多周期因子风险分解+MCTR(F07-10增强)/Component VaR/敏感度/情景压测/流动性/Carry预算分析/TCA反馈循环(F07-20增强)/实时盘中P&amp;L拆解(新增F07-22)/绩效报告生成；Phase 2强化：多周期因子归因、TCA反馈驱动、盘中实时P&amp;L；对应PPT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20</v>
      </c>
      <c r="N11" s="10" t="n">
        <v>15</v>
      </c>
      <c r="O11" s="13" t="n">
        <v>235</v>
      </c>
      <c r="P11" s="11" t="inlineStr">
        <is>
          <t>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14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权益/债券/期货/回购/利率衍生品全品种T0实时持仓，含未交割与待交割敞口分层展示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60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30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30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30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30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60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40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50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50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30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50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30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30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F18" s="5" t="inlineStr">
        <is>
          <t>日终对账完成时间&lt;6:00AM，差异识别率&gt;98%，break自动解决率&gt;80%（ML匹配），exception routing &lt;30s，manager review trigger by T+2</t>
        </is>
      </c>
      <c r="G18" s="23" t="inlineStr">
        <is>
          <t>高</t>
        </is>
      </c>
      <c r="H18" s="8" t="n">
        <v>75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60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30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F01-18</t>
        </is>
      </c>
      <c r="D21" s="4" t="inlineStr">
        <is>
          <t>监管报送数据支持（数据提取，非合规逻辑）</t>
        </is>
      </c>
      <c r="E21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F21" s="5" t="inlineStr">
        <is>
          <t>报送数据与IBOR源数据一致性100%，定时推送准时率&gt;99.9%</t>
        </is>
      </c>
      <c r="G21" s="24" t="inlineStr">
        <is>
          <t>中</t>
        </is>
      </c>
      <c r="H21" s="8" t="n">
        <v>30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F01-19</t>
        </is>
      </c>
      <c r="D22" s="4" t="inlineStr">
        <is>
          <t>行情数据接入</t>
        </is>
      </c>
      <c r="E22" s="5" t="inlineStr">
        <is>
          <t>接入AMD/Bloomberg/Wind实时行情（中债估值/利率曲线/信用利差/波动率曲面），标准化清洗后推送至IBOR定价层</t>
        </is>
      </c>
      <c r="F22" s="5" t="inlineStr">
        <is>
          <t>行情延迟&lt;1s，数据完整性&gt;99.9%，异常行情自动过滤告警</t>
        </is>
      </c>
      <c r="G22" s="23" t="inlineStr">
        <is>
          <t>高</t>
        </is>
      </c>
      <c r="H22" s="8" t="n">
        <v>30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F01-20</t>
        </is>
      </c>
      <c r="D23" s="4" t="inlineStr">
        <is>
          <t>交易数据接入</t>
        </is>
      </c>
      <c r="E23" s="5" t="inlineStr">
        <is>
          <t>从OMS/交易终端实时获取成交回报（债券/回购/衍生品），含完整交易状态机（报盘/成交/撤单/部分成交）追踪</t>
        </is>
      </c>
      <c r="F23" s="5" t="inlineStr">
        <is>
          <t>成交回报接收延迟&lt;200ms，数据完整性100%，状态机覆盖全交易生命周期</t>
        </is>
      </c>
      <c r="G23" s="24" t="inlineStr">
        <is>
          <t>中</t>
        </is>
      </c>
      <c r="H23" s="8" t="n">
        <v>30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F01-21</t>
        </is>
      </c>
      <c r="D24" s="4" t="inlineStr">
        <is>
          <t>持仓数据获取</t>
        </is>
      </c>
      <c r="E24" s="5" t="inlineStr">
        <is>
          <t>期初从托管行/清算系统获取存量持仓，日间成交驱动增量更新，支持多来源持仓比对与主数据确认</t>
        </is>
      </c>
      <c r="F24" s="5" t="inlineStr">
        <is>
          <t>期初持仓加载完成&lt;7:00AM，日间增量延迟&lt;500ms，多源持仓一致性核验通过率&gt;99%</t>
        </is>
      </c>
      <c r="G24" s="24" t="inlineStr">
        <is>
          <t>中</t>
        </is>
      </c>
      <c r="H24" s="8" t="n">
        <v>30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F01-22</t>
        </is>
      </c>
      <c r="D25" s="4" t="inlineStr">
        <is>
          <t>多时态头寸视图（IBOR数据基础设施，供上层消费）</t>
        </is>
      </c>
      <c r="E25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F25" s="5" t="inlineStr">
        <is>
          <t>历史快照查询任意日期延迟&lt;3s，前瞻视图覆盖30日，API并发支持≥20消费方</t>
        </is>
      </c>
      <c r="G25" s="23" t="inlineStr">
        <is>
          <t>高</t>
        </is>
      </c>
      <c r="H25" s="8" t="n">
        <v>30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F01-23</t>
        </is>
      </c>
      <c r="D26" s="4" t="inlineStr">
        <is>
          <t>会计分类估值配置与稽核</t>
        </is>
      </c>
      <c r="E26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F26" s="5" t="inlineStr">
        <is>
          <t>估值方法配置覆盖全品种，稽核规则命中率&gt;99%，OCI再分类触发边界零漏检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F01-24</t>
        </is>
      </c>
      <c r="D27" s="4" t="inlineStr">
        <is>
          <t>手工补录与审批工作流</t>
        </is>
      </c>
      <c r="E27" s="5" t="inlineStr">
        <is>
          <t>对上游系统缺失或错误数据支持手工增删改操作，修改后自动触发双级审批工作流，全操作记录审计日志，支持待办集中处理与历史审批检索</t>
        </is>
      </c>
      <c r="F27" s="5" t="inlineStr">
        <is>
          <t>审批流配置覆盖100%手工操作类型，操作日志不可篡改，审批完成后数据生效&lt;1min</t>
        </is>
      </c>
      <c r="G27" s="24" t="inlineStr">
        <is>
          <t>中</t>
        </is>
      </c>
      <c r="H27" s="8" t="n">
        <v>20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F01-25</t>
        </is>
      </c>
      <c r="D28" s="4" t="inlineStr">
        <is>
          <t>What-if持仓沙箱（供M07 Shadow Portfolio调用）</t>
        </is>
      </c>
      <c r="E28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F28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G28" s="23" t="inlineStr">
        <is>
          <t>高</t>
        </is>
      </c>
      <c r="H28" s="8" t="n">
        <v>35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F01-28</t>
        </is>
      </c>
      <c r="D29" s="4" t="inlineStr">
        <is>
          <t>抵押品管理（Collateral Management）</t>
        </is>
      </c>
      <c r="E2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F29" s="5" t="inlineStr">
        <is>
          <t>Haircut配置覆盖全品种，Margin Call计算与对手方差异&lt;0.5%，抵押品状态与F01-04同步延迟&lt;30s，三方托管接口联通率100%</t>
        </is>
      </c>
      <c r="G29" s="23" t="inlineStr">
        <is>
          <t>高</t>
        </is>
      </c>
      <c r="H29" s="8" t="n">
        <v>40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F01-29</t>
        </is>
      </c>
      <c r="D30" s="4" t="inlineStr">
        <is>
          <t>数据质量监控与SLA治理</t>
        </is>
      </c>
      <c r="E30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F30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G30" s="24" t="inlineStr">
        <is>
          <t>中</t>
        </is>
      </c>
      <c r="H30" s="8" t="n">
        <v>25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F04-03</t>
        </is>
      </c>
      <c r="D69" s="4" t="inlineStr">
        <is>
          <t>投资预测分析</t>
        </is>
      </c>
      <c r="E69" s="5" t="inlineStr">
        <is>
          <t>P&amp;L与风险归因预测建模，收益率曲线/利差/波动率因子预测，组合构建优化，多情景对比分析</t>
        </is>
      </c>
      <c r="F69" s="5" t="inlineStr">
        <is>
          <t>p99延迟/误差率/精度验证/压测10k TPS</t>
        </is>
      </c>
      <c r="G69" s="28" t="inlineStr">
        <is>
          <t>极高</t>
        </is>
      </c>
      <c r="H69" s="8" t="n">
        <v>35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F04-04</t>
        </is>
      </c>
      <c r="D70" s="4" t="inlineStr">
        <is>
          <t>实时风险计量</t>
        </is>
      </c>
      <c r="E70" s="5" t="inlineStr">
        <is>
          <t>实时风险指标计算引擎：Live VaR（消费M09 Greeks/DV01），实时风险敞口聚合，实时风险事件流推送至下游消费方；P&amp;L归因由M07 F07-22负责，限额利用率展示由F04-21负责，本模块只产出风险量化指标</t>
        </is>
      </c>
      <c r="F70" s="5" t="inlineStr">
        <is>
          <t>风险指标更新延迟&lt;1s，VaR计算调用M09 Greeks &lt;500ms，事件推送Kafka &lt;200ms</t>
        </is>
      </c>
      <c r="G70" s="28" t="inlineStr">
        <is>
          <t>极高</t>
        </is>
      </c>
      <c r="H70" s="8" t="n">
        <v>40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F04-05</t>
        </is>
      </c>
      <c r="D71" s="4" t="inlineStr">
        <is>
          <t>交易对手风险实时监控</t>
        </is>
      </c>
      <c r="E71" s="5" t="inlineStr">
        <is>
          <t>实时敞口聚合，抵押品监控，信用限额使用率，结算风险，净额结算协议管理</t>
        </is>
      </c>
      <c r="F71" s="5" t="inlineStr">
        <is>
          <t>功能完整/边界测试/集成冒烟/性能基线</t>
        </is>
      </c>
      <c r="G71" s="23" t="inlineStr">
        <is>
          <t>高</t>
        </is>
      </c>
      <c r="H71" s="8" t="n">
        <v>30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F04-07</t>
        </is>
      </c>
      <c r="D72" s="4" t="inlineStr">
        <is>
          <t>实时风险全景图</t>
        </is>
      </c>
      <c r="E72" s="5" t="inlineStr">
        <is>
          <t>风险驾驶舱仪表板：聚合展示F04-04风险指标 + F04-21限额状态 + F04-05对手方风险 + F04-19 AI预警；告警管理与异常跟踪；本模块只做展示编排，不重复计算或维护限额数据</t>
        </is>
      </c>
      <c r="F72" s="5" t="inlineStr">
        <is>
          <t>全景图刷新&lt;3s，告警延迟&lt;5s，所有数据来自上游F04-04/F04-05/F04-19/F04-21</t>
        </is>
      </c>
      <c r="G72" s="23" t="inlineStr">
        <is>
          <t>高</t>
        </is>
      </c>
      <c r="H72" s="8" t="n">
        <v>25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F04-08</t>
        </is>
      </c>
      <c r="D73" s="4" t="inlineStr">
        <is>
          <t>DV01/CS01风险聚合（消费M09 F09-10）</t>
        </is>
      </c>
      <c r="E73" s="5" t="inlineStr">
        <is>
          <t>【消费方】消费M09 F09-10的逐券DV01/CS01计算结果，本模块负责风险视角聚合：组合层面汇总（按资产类别/行业/评级/久期分桶），限额比对（vs F04-21），监管报送格式化（Basel III/FRTB），平行与非平行冲击情景；本模块不重复计算单券敏感度</t>
        </is>
      </c>
      <c r="F73" s="5" t="inlineStr">
        <is>
          <t>组合DV01聚合与M09单券结果误差&lt;0.1bps，分桶聚合&lt;2s，限额比对实时刷新</t>
        </is>
      </c>
      <c r="G73" s="23" t="inlineStr">
        <is>
          <t>高</t>
        </is>
      </c>
      <c r="H73" s="8" t="n">
        <v>25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F04-09</t>
        </is>
      </c>
      <c r="D74" s="4" t="inlineStr">
        <is>
          <t>Greeks风险聚合与解释（消费M09 F09-10）</t>
        </is>
      </c>
      <c r="E74" s="5" t="inlineStr">
        <is>
          <t>【消费方】消费M09 F09-10的逐券Delta/Gamma/Vega/Theta/Rho，本模块负责风险解释聚合：组合Greeks汇总、衍生品Greeks限额监控、Greeks敞口风险分析、Greeks-driven VaR输入；本模块不重复计算Greeks，纯消费方</t>
        </is>
      </c>
      <c r="F74" s="5" t="inlineStr">
        <is>
          <t>组合Greeks聚合&lt;2s，限额比对实时，与M09单券结果一致性100%</t>
        </is>
      </c>
      <c r="G74" s="23" t="inlineStr">
        <is>
          <t>高</t>
        </is>
      </c>
      <c r="H74" s="8" t="n">
        <v>20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F04-10</t>
        </is>
      </c>
      <c r="D75" s="4" t="inlineStr">
        <is>
          <t>VaR模型计算引擎</t>
        </is>
      </c>
      <c r="E75" s="5" t="inlineStr">
        <is>
          <t>VaR三方法计算引擎：参数法/历史模拟法/蒙特卡洛，Expected Shortfall；每日VaR计算与持久化（供F04-13查询/F04-23回测）；P&amp;L vs VaR异常初次检测（实时事件推送至F04-23）；本模块只负责VaR数值计算与异常事件输出，回测框架/Kupiec POF/模型治理/监管报送由F04-23独立模型治理模块负责</t>
        </is>
      </c>
      <c r="F75" s="5" t="inlineStr">
        <is>
          <t>VaR计算延迟&lt;5s（10万券组合MC），三方法一致性验证（差异&lt;3%），异常事件推送F04-23 &lt;1min</t>
        </is>
      </c>
      <c r="G75" s="28" t="inlineStr">
        <is>
          <t>极高</t>
        </is>
      </c>
      <c r="H75" s="8" t="n">
        <v>50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F04-11</t>
        </is>
      </c>
      <c r="D76" s="4" t="inlineStr">
        <is>
          <t>压力测试与情景分析</t>
        </is>
      </c>
      <c r="E76" s="5" t="inlineStr">
        <is>
          <t>内置历史情景（GFC/COVID-19/利率冲击），假设情景（曲线扭转/利差走阔），反向压力测试</t>
        </is>
      </c>
      <c r="F76" s="5" t="inlineStr">
        <is>
          <t>功能完整/边界测试/集成冒烟/性能基线</t>
        </is>
      </c>
      <c r="G76" s="23" t="inlineStr">
        <is>
          <t>高</t>
        </is>
      </c>
      <c r="H76" s="8" t="n">
        <v>35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F04-20</t>
        </is>
      </c>
      <c r="D77" s="4" t="inlineStr">
        <is>
          <t>信用风险计量（CVA/PD/LGD）</t>
        </is>
      </c>
      <c r="E77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F77" s="5" t="inlineStr">
        <is>
          <t>CVA计算与对手方差异&lt;1%，IFRS 9 ECL覆盖全债券持仓，PD/LGD数据源可追溯，动态PD曲线更新&lt;30s，信用限额仪表盘实时刷新</t>
        </is>
      </c>
      <c r="G77" s="28" t="inlineStr">
        <is>
          <t>极高</t>
        </is>
      </c>
      <c r="H77" s="8" t="n">
        <v>45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F04-13</t>
        </is>
      </c>
      <c r="D78" s="4" t="inlineStr">
        <is>
          <t>历史风险数据查询与趋势分析</t>
        </is>
      </c>
      <c r="E78" s="5" t="inlineStr">
        <is>
          <t>历史风险指标查询API（VaR/DV01/CS01历史快照），风险趋势分析（按日/周/月聚合），限额例外历史统计，压力测试历史结果归档；VaR回测与模型验证由F04-23模型治理框架负责，本模块只做历史数据查询与可视化</t>
        </is>
      </c>
      <c r="F78" s="5" t="inlineStr">
        <is>
          <t>历史查询API延迟&lt;3s，覆盖最近5年，趋势分析支持任意时间窗口</t>
        </is>
      </c>
      <c r="G78" s="24" t="inlineStr">
        <is>
          <t>中</t>
        </is>
      </c>
      <c r="H78" s="8" t="n">
        <v>20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F04-15</t>
        </is>
      </c>
      <c r="D79" s="4" t="inlineStr">
        <is>
          <t>监管报表与风控日报</t>
        </is>
      </c>
      <c r="E79" s="5" t="inlineStr">
        <is>
          <t>日/周/月风险报告自动生成，监管资本计算，Basel III/FRTB报送，压力测试摘要，风险归因仪表板</t>
        </is>
      </c>
      <c r="F79" s="5" t="inlineStr">
        <is>
          <t>功能测试通过/正确率100%</t>
        </is>
      </c>
      <c r="G79" s="24" t="inlineStr">
        <is>
          <t>中</t>
        </is>
      </c>
      <c r="H79" s="8" t="n">
        <v>20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F04-21</t>
        </is>
      </c>
      <c r="D80" s="4" t="inlineStr">
        <is>
          <t>限额治理工作流</t>
        </is>
      </c>
      <c r="E80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F80" s="5" t="inlineStr">
        <is>
          <t>超限告警延迟&lt;1min，限额利用率仪表盘实时刷新，限额变更全程留痕，监管核查导出&lt;5min</t>
        </is>
      </c>
      <c r="G80" s="24" t="inlineStr">
        <is>
          <t>中</t>
        </is>
      </c>
      <c r="H80" s="8" t="n">
        <v>20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F04-22</t>
        </is>
      </c>
      <c r="D81" s="4" t="inlineStr">
        <is>
          <t>交易前风险影响分析</t>
        </is>
      </c>
      <c r="E81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F04-21 limits），estimated FVA if derivative；集成M06 F06-04 pre-trade validation：combine risk impact + compliance impact in unified PM dashboard；feed to M01 F01-25 what-if sandbox for full portfolio stress scenarios；M07 F07-22 consumption for intraday decision support</t>
        </is>
      </c>
      <c r="F81" s="5" t="inlineStr">
        <is>
          <t>Impact calc &lt;500ms (p99)，accuracy ±2% vs actual execution，limit breach detection 100%，UI adoption by 80% of traders within 3 months</t>
        </is>
      </c>
      <c r="G81" s="23" t="inlineStr">
        <is>
          <t>高</t>
        </is>
      </c>
      <c r="H81" s="8" t="n">
        <v>25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F04-23</t>
        </is>
      </c>
      <c r="D82" s="4" t="inlineStr">
        <is>
          <t>模型治理与回测框架</t>
        </is>
      </c>
      <c r="E82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F82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F04-16</t>
        </is>
      </c>
      <c r="D83" s="4" t="inlineStr">
        <is>
          <t>数据底座与IBOR集成</t>
        </is>
      </c>
      <c r="E83" s="5" t="inlineStr">
        <is>
          <t>实时持仓追踪（事件溯源架构），全公司持仓聚合，实时数据验证与自动清洗，审计追踪</t>
        </is>
      </c>
      <c r="F83" s="5" t="inlineStr">
        <is>
          <t>功能完整/边界测试/集成冒烟/性能基线</t>
        </is>
      </c>
      <c r="G83" s="23" t="inlineStr">
        <is>
          <t>高</t>
        </is>
      </c>
      <c r="H83" s="8" t="n">
        <v>30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F04-18</t>
        </is>
      </c>
      <c r="D84" s="4" t="inlineStr">
        <is>
          <t>HPC计算网格</t>
        </is>
      </c>
      <c r="E84" s="5" t="inlineStr">
        <is>
          <t>分布式计算引擎，并行蒙特卡洛，压力测试网格调度，弹性扩容，p99计算延迟&lt;5s</t>
        </is>
      </c>
      <c r="F84" s="5" t="inlineStr">
        <is>
          <t>p99延迟/误差率/精度验证/压测10k TPS</t>
        </is>
      </c>
      <c r="G84" s="28" t="inlineStr">
        <is>
          <t>极高</t>
        </is>
      </c>
      <c r="H84" s="8" t="n">
        <v>40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F04-19</t>
        </is>
      </c>
      <c r="D85" s="4" t="inlineStr">
        <is>
          <t>AI风险预警</t>
        </is>
      </c>
      <c r="E85" s="5" t="inlineStr">
        <is>
          <t>异常检测（ML模型），预测性分析，模式识别，智能告警，新业务合规风险预分析</t>
        </is>
      </c>
      <c r="F85" s="5" t="inlineStr">
        <is>
          <t>功能完整/边界测试/集成冒烟/性能基线</t>
        </is>
      </c>
      <c r="G85" s="23" t="inlineStr">
        <is>
          <t>高</t>
        </is>
      </c>
      <c r="H85" s="8" t="n">
        <v>30</v>
      </c>
    </row>
    <row r="86" ht="20" customHeight="1">
      <c r="A86" s="22" t="inlineStr">
        <is>
          <t>【P1】 异常交易风控  (Abnormal Trade Monitor)</t>
        </is>
      </c>
    </row>
    <row r="87" ht="28" customHeight="1">
      <c r="A87" s="5" t="inlineStr">
        <is>
          <t>异常交易风控</t>
        </is>
      </c>
      <c r="B87" s="3" t="inlineStr">
        <is>
          <t>P1</t>
        </is>
      </c>
      <c r="C87" s="3" t="inlineStr">
        <is>
          <t>F05-01</t>
        </is>
      </c>
      <c r="D87" s="4" t="inlineStr">
        <is>
          <t>LLM大语言模型应用</t>
        </is>
      </c>
      <c r="E87" s="5" t="inlineStr">
        <is>
          <t>客户意图识别，自然语言处理交易描述，智能报告自动生成，新规合规解读</t>
        </is>
      </c>
      <c r="F87" s="5" t="inlineStr">
        <is>
          <t>p99延迟/误差率/精度验证/压测10k TPS</t>
        </is>
      </c>
      <c r="G87" s="28" t="inlineStr">
        <is>
          <t>极高</t>
        </is>
      </c>
      <c r="H87" s="8" t="n">
        <v>40</v>
      </c>
    </row>
    <row r="88" ht="28" customHeight="1">
      <c r="A88" s="5" t="inlineStr">
        <is>
          <t>异常交易风控</t>
        </is>
      </c>
      <c r="B88" s="3" t="inlineStr">
        <is>
          <t>P1</t>
        </is>
      </c>
      <c r="C88" s="3" t="inlineStr">
        <is>
          <t>F05-02</t>
        </is>
      </c>
      <c r="D88" s="4" t="inlineStr">
        <is>
          <t>RAG检索增强生成</t>
        </is>
      </c>
      <c r="E88" s="5" t="inlineStr">
        <is>
          <t>监管规则知识库构建，新规则智能固化，合规智能问答，上下文理解与规则推理</t>
        </is>
      </c>
      <c r="F88" s="5" t="inlineStr">
        <is>
          <t>功能完整/边界测试/集成冒烟/性能基线</t>
        </is>
      </c>
      <c r="G88" s="23" t="inlineStr">
        <is>
          <t>高</t>
        </is>
      </c>
      <c r="H88" s="8" t="n">
        <v>30</v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F05-03</t>
        </is>
      </c>
      <c r="D89" s="4" t="inlineStr">
        <is>
          <t>Agent智能体</t>
        </is>
      </c>
      <c r="E89" s="5" t="inlineStr">
        <is>
          <t>异常处置任务自动化，决策支持工作流，多步骤异常核查流程优化，自动推送处置建议</t>
        </is>
      </c>
      <c r="F89" s="5" t="inlineStr">
        <is>
          <t>功能完整/边界测试/集成冒烟/性能基线</t>
        </is>
      </c>
      <c r="G89" s="23" t="inlineStr">
        <is>
          <t>高</t>
        </is>
      </c>
      <c r="H89" s="8" t="n">
        <v>30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F05-04</t>
        </is>
      </c>
      <c r="D90" s="4" t="inlineStr">
        <is>
          <t>MCP外部服务集成</t>
        </is>
      </c>
      <c r="E90" s="5" t="inlineStr">
        <is>
          <t>外部数据源调用接口，固化规则调用标准协议，与行情/持仓/交易系统数据对接</t>
        </is>
      </c>
      <c r="F90" s="5" t="inlineStr">
        <is>
          <t>功能测试通过/正确率100%</t>
        </is>
      </c>
      <c r="G90" s="24" t="inlineStr">
        <is>
          <t>中</t>
        </is>
      </c>
      <c r="H90" s="8" t="n">
        <v>20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F05-05</t>
        </is>
      </c>
      <c r="D91" s="4" t="inlineStr">
        <is>
          <t>代持与反向交易识别</t>
        </is>
      </c>
      <c r="E91" s="5" t="inlineStr">
        <is>
          <t>代持相关交易检测，同券同额反向识别，多日反向低频交易模式识别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25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F05-06</t>
        </is>
      </c>
      <c r="D92" s="4" t="inlineStr">
        <is>
          <t>价格行为异常检测</t>
        </is>
      </c>
      <c r="E92" s="5" t="inlineStr">
        <is>
          <t>高买低卖行为识别，信用债价格异常检测，基于历史分位数与实时行情动态偏离度计算</t>
        </is>
      </c>
      <c r="F92" s="5" t="inlineStr">
        <is>
          <t>功能完整/边界测试/集成冒烟/性能基线</t>
        </is>
      </c>
      <c r="G92" s="23" t="inlineStr">
        <is>
          <t>高</t>
        </is>
      </c>
      <c r="H92" s="8" t="n">
        <v>25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F05-07</t>
        </is>
      </c>
      <c r="D93" s="4" t="inlineStr">
        <is>
          <t>交易对手异常监控</t>
        </is>
      </c>
      <c r="E93" s="5" t="inlineStr">
        <is>
          <t>同一交易对手频繁交易预警，多次修改交易对手行为识别，持仓结构异常检测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20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F05-08</t>
        </is>
      </c>
      <c r="D94" s="4" t="inlineStr">
        <is>
          <t>交易量异常检测</t>
        </is>
      </c>
      <c r="E94" s="5" t="inlineStr">
        <is>
          <t>交易量统计异常识别，集中度异常告警，与历史基准对比的量级偏离检测</t>
        </is>
      </c>
      <c r="F94" s="5" t="inlineStr">
        <is>
          <t>功能测试通过/正确率100%</t>
        </is>
      </c>
      <c r="G94" s="24" t="inlineStr">
        <is>
          <t>中</t>
        </is>
      </c>
      <c r="H94" s="8" t="n">
        <v>15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F05-09</t>
        </is>
      </c>
      <c r="D95" s="4" t="inlineStr">
        <is>
          <t>动态规则管理</t>
        </is>
      </c>
      <c r="E95" s="5" t="inlineStr">
        <is>
          <t>异常模式智能探索与规则固化，No-Code规则配置界面，合规人员自助维护，规则版本管理</t>
        </is>
      </c>
      <c r="F95" s="5" t="inlineStr">
        <is>
          <t>功能测试通过/正确率100%</t>
        </is>
      </c>
      <c r="G95" s="24" t="inlineStr">
        <is>
          <t>中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F05-10</t>
        </is>
      </c>
      <c r="D96" s="4" t="inlineStr">
        <is>
          <t>异常交易定位</t>
        </is>
      </c>
      <c r="E96" s="5" t="inlineStr">
        <is>
          <t>按时间范围快速查找历史异常交易，标记异常类型，可视化展示异常分布与趋势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F05-11</t>
        </is>
      </c>
      <c r="D97" s="4" t="inlineStr">
        <is>
          <t>数据上传校验</t>
        </is>
      </c>
      <c r="E97" s="5" t="inlineStr">
        <is>
          <t>支持用户上传交易数据文件，瞬时完成异常交易校验并输出校验结果报告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15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F05-12</t>
        </is>
      </c>
      <c r="D98" s="4" t="inlineStr">
        <is>
          <t>智能报告生成</t>
        </is>
      </c>
      <c r="E98" s="5" t="inlineStr">
        <is>
          <t>模板自定义与场景数据一键应用，监管报送格式（证监会/人行），新业务过会合规分析报告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20</v>
      </c>
    </row>
    <row r="99" ht="20" customHeight="1">
      <c r="A99" s="22" t="inlineStr">
        <is>
          <t>【P1】 事前风控/合规  (Pre-trade Risk &amp; Compliance)</t>
        </is>
      </c>
    </row>
    <row r="100" ht="28" customHeight="1">
      <c r="A100" s="5" t="inlineStr">
        <is>
          <t>事前风控/合规</t>
        </is>
      </c>
      <c r="B100" s="3" t="inlineStr">
        <is>
          <t>P1</t>
        </is>
      </c>
      <c r="C100" s="3" t="inlineStr">
        <is>
          <t>F06-01</t>
        </is>
      </c>
      <c r="D100" s="4" t="inlineStr">
        <is>
          <t>风控规则配置</t>
        </is>
      </c>
      <c r="E100" s="5" t="inlineStr">
        <is>
          <t>风控人员在页面配置事前风控条款，支持按需调整，规则版本管理，内置监管规则库（1000+条）</t>
        </is>
      </c>
      <c r="F100" s="5" t="inlineStr">
        <is>
          <t>功能完整/边界测试/集成冒烟/性能基线</t>
        </is>
      </c>
      <c r="G100" s="23" t="inlineStr">
        <is>
          <t>高</t>
        </is>
      </c>
      <c r="H100" s="8" t="n">
        <v>30</v>
      </c>
    </row>
    <row r="101" ht="28" customHeight="1">
      <c r="A101" s="5" t="inlineStr">
        <is>
          <t>事前风控/合规</t>
        </is>
      </c>
      <c r="B101" s="3" t="inlineStr">
        <is>
          <t>P1</t>
        </is>
      </c>
      <c r="C101" s="3" t="inlineStr">
        <is>
          <t>F06-02</t>
        </is>
      </c>
      <c r="D101" s="4" t="inlineStr">
        <is>
          <t>多维度限额配置</t>
        </is>
      </c>
      <c r="E101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F101" s="5" t="inlineStr">
        <is>
          <t>功能完整/边界测试/集成冒烟/性能基线</t>
        </is>
      </c>
      <c r="G101" s="23" t="inlineStr">
        <is>
          <t>高</t>
        </is>
      </c>
      <c r="H101" s="8" t="n">
        <v>25</v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F06-03</t>
        </is>
      </c>
      <c r="D102" s="4" t="inlineStr">
        <is>
          <t>白黑名单管理</t>
        </is>
      </c>
      <c r="E102" s="5" t="inlineStr">
        <is>
          <t>证券/交易对手监管限制名单实时同步，支持手工维护，拦截违规交易</t>
        </is>
      </c>
      <c r="F102" s="5" t="inlineStr">
        <is>
          <t>功能测试通过/正确率100%</t>
        </is>
      </c>
      <c r="G102" s="24" t="inlineStr">
        <is>
          <t>中</t>
        </is>
      </c>
      <c r="H102" s="8" t="n">
        <v>15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F06-04</t>
        </is>
      </c>
      <c r="D103" s="4" t="inlineStr">
        <is>
          <t>实时事前风控拦截</t>
        </is>
      </c>
      <c r="E103" s="5" t="inlineStr">
        <is>
          <t>交易录入时同步三维度校验（交易对手/交易员/券），不通过即时拦截并告知原因，支持发衡泰前校验</t>
        </is>
      </c>
      <c r="F103" s="5" t="inlineStr">
        <is>
          <t>p99延迟/误差率/精度验证/压测10k TPS</t>
        </is>
      </c>
      <c r="G103" s="28" t="inlineStr">
        <is>
          <t>极高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F06-05</t>
        </is>
      </c>
      <c r="D104" s="4" t="inlineStr">
        <is>
          <t>异常报备工作流</t>
        </is>
      </c>
      <c r="E104" s="5" t="inlineStr">
        <is>
          <t>触发异常条款后交易界面即时弹出提示，用户填写异常报备信息后方可提交，确保合规留痕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20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F06-06</t>
        </is>
      </c>
      <c r="D105" s="4" t="inlineStr">
        <is>
          <t>AI聊天合规监控</t>
        </is>
      </c>
      <c r="E105" s="5" t="inlineStr">
        <is>
          <t>AI自动抓取所有交易对手聊天记录，按客户/券归类并保持时间顺序，实时监控潜在聊天违规并提醒交易员</t>
        </is>
      </c>
      <c r="F105" s="5" t="inlineStr">
        <is>
          <t>功能完整/边界测试/集成冒烟/性能基线</t>
        </is>
      </c>
      <c r="G105" s="23" t="inlineStr">
        <is>
          <t>高</t>
        </is>
      </c>
      <c r="H105" s="8" t="n">
        <v>30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F06-07</t>
        </is>
      </c>
      <c r="D106" s="4" t="inlineStr">
        <is>
          <t>AI交易要素提取</t>
        </is>
      </c>
      <c r="E106" s="5" t="inlineStr">
        <is>
          <t>询价意向达成后AI自动从聊天记录生成交易要素（债券/数量/价格/对手方），减少手工录入错误</t>
        </is>
      </c>
      <c r="F106" s="5" t="inlineStr">
        <is>
          <t>功能完整/边界测试/集成冒烟/性能基线</t>
        </is>
      </c>
      <c r="G106" s="23" t="inlineStr">
        <is>
          <t>高</t>
        </is>
      </c>
      <c r="H106" s="8" t="n">
        <v>25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F06-08</t>
        </is>
      </c>
      <c r="D107" s="4" t="inlineStr">
        <is>
          <t>日内异常统计看板</t>
        </is>
      </c>
      <c r="E107" s="5" t="inlineStr">
        <is>
          <t>实时查看日内异常触发记录及处理情况，全面掌握团队执行进度与风控落实效果</t>
        </is>
      </c>
      <c r="F107" s="5" t="inlineStr">
        <is>
          <t>功能测试通过/正确率100%</t>
        </is>
      </c>
      <c r="G107" s="24" t="inlineStr">
        <is>
          <t>中</t>
        </is>
      </c>
      <c r="H107" s="8" t="n">
        <v>15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F06-09</t>
        </is>
      </c>
      <c r="D108" s="4" t="inlineStr">
        <is>
          <t>合规审批工作流</t>
        </is>
      </c>
      <c r="E108" s="5" t="inlineStr">
        <is>
          <t>超限申请→多级审批→记录全流程，支持移动端审批，审批结果实时推送</t>
        </is>
      </c>
      <c r="F108" s="5" t="inlineStr">
        <is>
          <t>功能测试通过/正确率100%</t>
        </is>
      </c>
      <c r="G108" s="24" t="inlineStr">
        <is>
          <t>中</t>
        </is>
      </c>
      <c r="H108" s="8" t="n">
        <v>15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F06-10</t>
        </is>
      </c>
      <c r="D109" s="4" t="inlineStr">
        <is>
          <t>责任留痕与审计追踪</t>
        </is>
      </c>
      <c r="E109" s="5" t="inlineStr">
        <is>
          <t>所有交易录入、拦截、报备、审批操作全程留痕，可追溯，监管现场检查时一键提取证据包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F06-11</t>
        </is>
      </c>
      <c r="D110" s="4" t="inlineStr">
        <is>
          <t>持仓合规状态持续监控（原M01 F01-17迁移）</t>
        </is>
      </c>
      <c r="E110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F110" s="5" t="inlineStr">
        <is>
          <t>持仓合规状态刷新延迟&lt;30s，零漏报，误报率&lt;0.1%，状态写回IBOR&lt;5s</t>
        </is>
      </c>
      <c r="G110" s="23" t="inlineStr">
        <is>
          <t>高</t>
        </is>
      </c>
      <c r="H110" s="8" t="n">
        <v>30</v>
      </c>
    </row>
    <row r="111" ht="20" customHeight="1">
      <c r="A111" s="22" t="inlineStr">
        <is>
          <t>【P1】 组合管理+绩效归因  (Portfolio Mgmt &amp; Perf)</t>
        </is>
      </c>
    </row>
    <row r="112" ht="28" customHeight="1">
      <c r="A112" s="5" t="inlineStr">
        <is>
          <t>组合管理+绩效归因</t>
        </is>
      </c>
      <c r="B112" s="3" t="inlineStr">
        <is>
          <t>P1</t>
        </is>
      </c>
      <c r="C112" s="3" t="inlineStr">
        <is>
          <t>F07-01</t>
        </is>
      </c>
      <c r="D112" s="4" t="inlineStr">
        <is>
          <t>全资产统一持仓模型</t>
        </is>
      </c>
      <c r="E112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2" s="5" t="inlineStr">
        <is>
          <t>T+0持仓实时刷新，穿透层级≥5层，数据与IBOR差异&lt;0.01%</t>
        </is>
      </c>
      <c r="G112" s="23" t="inlineStr">
        <is>
          <t>高</t>
        </is>
      </c>
      <c r="H112" s="8" t="n">
        <v>60</v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F07-02</t>
        </is>
      </c>
      <c r="D113" s="4" t="inlineStr">
        <is>
          <t>跨资产相关性分析</t>
        </is>
      </c>
      <c r="E113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3" s="5" t="inlineStr">
        <is>
          <t>相关矩阵计算&lt;30s（500券组合），动态漂移预警阈值可配</t>
        </is>
      </c>
      <c r="G113" s="23" t="inlineStr">
        <is>
          <t>高</t>
        </is>
      </c>
      <c r="H113" s="8" t="n">
        <v>30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F07-03</t>
        </is>
      </c>
      <c r="D114" s="4" t="inlineStr">
        <is>
          <t>相对价值分析</t>
        </is>
      </c>
      <c r="E114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4" s="5" t="inlineStr">
        <is>
          <t>OAS计算误差&lt;1bps，历史分位数覆盖5年，横截面信号与实际收益相关性&gt;0.3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F07-04</t>
        </is>
      </c>
      <c r="D115" s="4" t="inlineStr">
        <is>
          <t>QP智能再平衡引擎</t>
        </is>
      </c>
      <c r="E115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15" s="5" t="inlineStr">
        <is>
          <t>QP求解2000持仓&lt;200ms，约束满足率100%，调仓前后TE对比即时输出</t>
        </is>
      </c>
      <c r="G115" s="23" t="inlineStr">
        <is>
          <t>高</t>
        </is>
      </c>
      <c r="H115" s="8" t="n">
        <v>60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F07-05</t>
        </is>
      </c>
      <c r="D116" s="4" t="inlineStr">
        <is>
          <t>Shadow Portfolio虚拟试算（调用M01持仓沙箱）</t>
        </is>
      </c>
      <c r="E116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F116" s="5" t="inlineStr">
        <is>
          <t>虚拟组合模拟与真实执行偏差&lt;0.3%，秒级响应，100+并行无数据污染</t>
        </is>
      </c>
      <c r="G116" s="23" t="inlineStr">
        <is>
          <t>高</t>
        </is>
      </c>
      <c r="H116" s="8" t="n">
        <v>60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F07-06</t>
        </is>
      </c>
      <c r="D117" s="4" t="inlineStr">
        <is>
          <t>资产配置策略分析</t>
        </is>
      </c>
      <c r="E117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17" s="5" t="inlineStr">
        <is>
          <t>回测期≥5年，预测方向胜率&gt;55%，SAA→TAA指令转化全程无人工干预</t>
        </is>
      </c>
      <c r="G117" s="23" t="inlineStr">
        <is>
          <t>高</t>
        </is>
      </c>
      <c r="H117" s="8" t="n">
        <v>60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F07-07</t>
        </is>
      </c>
      <c r="D118" s="4" t="inlineStr">
        <is>
          <t>Campisi 2.0 固收绩效归因</t>
        </is>
      </c>
      <c r="E118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18" s="5" t="inlineStr">
        <is>
          <t>五效应合计与实际收益残差&lt;5bps，T+1 9:00前自动报告</t>
        </is>
      </c>
      <c r="G118" s="23" t="inlineStr">
        <is>
          <t>高</t>
        </is>
      </c>
      <c r="H118" s="8" t="n">
        <v>50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F07-08</t>
        </is>
      </c>
      <c r="D119" s="4" t="inlineStr">
        <is>
          <t>Brinson 资产组合绩效归因</t>
        </is>
      </c>
      <c r="E119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19" s="5" t="inlineStr">
        <is>
          <t>Brinson结果与Bloomberg AIM误差&lt;0.1%，穿透层级≥4层</t>
        </is>
      </c>
      <c r="G119" s="23" t="inlineStr">
        <is>
          <t>高</t>
        </is>
      </c>
      <c r="H119" s="8" t="n">
        <v>40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F07-09</t>
        </is>
      </c>
      <c r="D120" s="4" t="inlineStr">
        <is>
          <t>指数跟踪误差与主动风险归因</t>
        </is>
      </c>
      <c r="E120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20" s="5" t="inlineStr">
        <is>
          <t>TE计算误差&lt;1bps，支持≥10基准指数，IR预警自动推送</t>
        </is>
      </c>
      <c r="G120" s="24" t="inlineStr">
        <is>
          <t>中</t>
        </is>
      </c>
      <c r="H120" s="8" t="n">
        <v>30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F07-19</t>
        </is>
      </c>
      <c r="D121" s="4" t="inlineStr">
        <is>
          <t>净利差与Carry预算分析</t>
        </is>
      </c>
      <c r="E121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F121" s="5" t="inlineStr">
        <is>
          <t>逐券Carry计算与实际票息收入误差&lt;1bps，Carry预算仪表盘T+1 9:00前自动刷新</t>
        </is>
      </c>
      <c r="G121" s="24" t="inlineStr">
        <is>
          <t>中</t>
        </is>
      </c>
      <c r="H121" s="8" t="n">
        <v>25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F07-20</t>
        </is>
      </c>
      <c r="D122" s="4" t="inlineStr">
        <is>
          <t>交易成本分析TCA</t>
        </is>
      </c>
      <c r="E122" s="5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-22盘中P&amp;L仪表盘</t>
        </is>
      </c>
      <c r="F122" s="5" t="inlineStr">
        <is>
          <t>TCA报告T+1生成，经纪商排名覆盖≥90%成交量，实施成本差计算与外部TCA服务误差&lt;1bps，每日TCA反馈驱动&lt;100bps超额成本自动预警</t>
        </is>
      </c>
      <c r="G122" s="24" t="inlineStr">
        <is>
          <t>中</t>
        </is>
      </c>
      <c r="H122" s="8" t="n">
        <v>25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F07-21</t>
        </is>
      </c>
      <c r="D123" s="4" t="inlineStr">
        <is>
          <t>绩效报告生成</t>
        </is>
      </c>
      <c r="E123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F123" s="5" t="inlineStr">
        <is>
          <t>TWR/MWR与Bloomberg AIM误差&lt;0.1%，月度报告T+1 9:00前自动生成，支持≥12期累计归因</t>
        </is>
      </c>
      <c r="G123" s="24" t="inlineStr">
        <is>
          <t>中</t>
        </is>
      </c>
      <c r="H123" s="8" t="n">
        <v>20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F07-10</t>
        </is>
      </c>
      <c r="D124" s="4" t="inlineStr">
        <is>
          <t>因子风险分解 + MCTR边际风险贡献（消费M08因子暴露）</t>
        </is>
      </c>
      <c r="E124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F124" s="5" t="inlineStr">
        <is>
          <t>因子模型解释方差&gt;80%（由M08保证），MCTR实时更新延迟&lt;5s，多周期因子归因对账&lt;1bps，日度初步结果&lt;2h，风险预算仪表盘刷新延迟&lt;5s</t>
        </is>
      </c>
      <c r="G124" s="23" t="inlineStr">
        <is>
          <t>高</t>
        </is>
      </c>
      <c r="H124" s="8" t="n">
        <v>80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F07-11</t>
        </is>
      </c>
      <c r="D125" s="4" t="inlineStr">
        <is>
          <t>Component VaR 四层穿透展示（调用M04引擎）</t>
        </is>
      </c>
      <c r="E125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F125" s="5" t="inlineStr">
        <is>
          <t>穿透至发行人层展示&lt;3s，三方法差异预警由M04提供，本模块直接透传</t>
        </is>
      </c>
      <c r="G125" s="24" t="inlineStr">
        <is>
          <t>中</t>
        </is>
      </c>
      <c r="H125" s="8" t="n">
        <v>40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F07-12</t>
        </is>
      </c>
      <c r="D126" s="4" t="inlineStr">
        <is>
          <t>敏感度展示（多维Shock Grid，消费M09定价引擎）</t>
        </is>
      </c>
      <c r="E126" s="5" t="inlineStr">
        <is>
          <t>PM决策展示层——M09(F09-10)是Greeks/DV01/CS01/KRD唯一计算权威，本模块直接消费M09逐券敏感度结果，负责：组合层面聚合（按资产类别/行业/评级汇总），构建利率×信用利差二维冲击矩阵（Shock Grid 5×5），识别最脆弱组合方向，输出对冲比率建议；本模块与M04 F04-08/F04-09同为消费方，分别服务PM决策与风险监管</t>
        </is>
      </c>
      <c r="F126" s="5" t="inlineStr">
        <is>
          <t>Shock Grid 5×5矩阵实时刷新，组合DV01聚合与M09单券结果误差&lt;0.1bps</t>
        </is>
      </c>
      <c r="G126" s="24" t="inlineStr">
        <is>
          <t>中</t>
        </is>
      </c>
      <c r="H126" s="8" t="n">
        <v>40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F07-13</t>
        </is>
      </c>
      <c r="D127" s="4" t="inlineStr">
        <is>
          <t>情景分析PM决策层（调用M04场景库）</t>
        </is>
      </c>
      <c r="E127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F127" s="5" t="inlineStr">
        <is>
          <t>调用M04 API获取场景P&amp;L&lt;2s，PM决策输出（对冲建议）&lt;5s，≥20情景并行</t>
        </is>
      </c>
      <c r="G127" s="24" t="inlineStr">
        <is>
          <t>中</t>
        </is>
      </c>
      <c r="H127" s="8" t="n">
        <v>60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F07-14</t>
        </is>
      </c>
      <c r="D128" s="4" t="inlineStr">
        <is>
          <t>流动性风险管理（LVaR）</t>
        </is>
      </c>
      <c r="E128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28" s="5" t="inlineStr">
        <is>
          <t>LVaR与市场基准误差&lt;5%，日均成交量覆盖≥95%持仓，变现路径建议&lt;3s</t>
        </is>
      </c>
      <c r="G128" s="24" t="inlineStr">
        <is>
          <t>中</t>
        </is>
      </c>
      <c r="H128" s="8" t="n">
        <v>50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F07-15</t>
        </is>
      </c>
      <c r="D129" s="4" t="inlineStr">
        <is>
          <t>衍生品对冲决策引擎</t>
        </is>
      </c>
      <c r="E129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29" s="5" t="inlineStr">
        <is>
          <t>对冲方案推荐&lt;5s，DV01对冲误差&lt;5%，指令自动流转执行引擎</t>
        </is>
      </c>
      <c r="G129" s="23" t="inlineStr">
        <is>
          <t>高</t>
        </is>
      </c>
      <c r="H129" s="8" t="n">
        <v>40</v>
      </c>
    </row>
    <row r="130" ht="28" customHeight="1">
      <c r="A130" s="5" t="inlineStr">
        <is>
          <t>组合管理+绩效归因</t>
        </is>
      </c>
      <c r="B130" s="3" t="inlineStr">
        <is>
          <t>P1</t>
        </is>
      </c>
      <c r="C130" s="3" t="inlineStr">
        <is>
          <t>F07-22</t>
        </is>
      </c>
      <c r="D130" s="4" t="inlineStr">
        <is>
          <t>实时盘中P&amp;L拆解与TCA集成</t>
        </is>
      </c>
      <c r="E130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δrate等)、执行成本(滑点/摩擦成本/费用)；集成F07-20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F130" s="5" t="inlineStr">
        <is>
          <t>P&amp;L刷新&lt;30s（100+持仓），Greeks分解精度±5bps，执行成本反馈&lt;1h，trader采纳率70% within 3 months</t>
        </is>
      </c>
      <c r="G130" s="23" t="inlineStr">
        <is>
          <t>高</t>
        </is>
      </c>
      <c r="H130" s="8" t="n">
        <v>30</v>
      </c>
    </row>
    <row r="131" ht="28" customHeight="1">
      <c r="A131" s="5" t="inlineStr">
        <is>
          <t>组合管理+绩效归因</t>
        </is>
      </c>
      <c r="B131" s="3" t="inlineStr">
        <is>
          <t>P1</t>
        </is>
      </c>
      <c r="C131" s="3" t="inlineStr">
        <is>
          <t>F07-16</t>
        </is>
      </c>
      <c r="D131" s="4" t="inlineStr">
        <is>
          <t>定价计算集成</t>
        </is>
      </c>
      <c r="E131" s="5" t="inlineStr">
        <is>
          <t>调用定价平台实时估值与Greeks（含权债/可转债/IRS），Redis缓存结果，Kafka推送持仓+估值变化事件，日终全量估值批处理</t>
        </is>
      </c>
      <c r="F131" s="5" t="inlineStr">
        <is>
          <t>定价API p99&lt;200ms，日终全量估值&lt;30min（10万券）</t>
        </is>
      </c>
      <c r="G131" s="23" t="inlineStr">
        <is>
          <t>高</t>
        </is>
      </c>
      <c r="H131" s="8" t="n">
        <v>30</v>
      </c>
    </row>
    <row r="132" ht="28" customHeight="1">
      <c r="A132" s="5" t="inlineStr">
        <is>
          <t>组合管理+绩效归因</t>
        </is>
      </c>
      <c r="B132" s="3" t="inlineStr">
        <is>
          <t>P1</t>
        </is>
      </c>
      <c r="C132" s="3" t="inlineStr">
        <is>
          <t>F07-17</t>
        </is>
      </c>
      <c r="D132" s="4" t="inlineStr">
        <is>
          <t>利率曲线集成</t>
        </is>
      </c>
      <c r="E132" s="5" t="inlineStr">
        <is>
          <t>多曲线实时消费（国债/政策行/AAA信用/OIS），NS参数提取（水平/斜率/曲率），关键期限点敏感度映射，曲线版本快照（供归因历史复现）</t>
        </is>
      </c>
      <c r="F132" s="5" t="inlineStr">
        <is>
          <t>曲线更新延迟&lt;1s，NS拟合R²&gt;0.999</t>
        </is>
      </c>
      <c r="G132" s="24" t="inlineStr">
        <is>
          <t>中</t>
        </is>
      </c>
      <c r="H132" s="8" t="n">
        <v>30</v>
      </c>
    </row>
    <row r="133" ht="28" customHeight="1">
      <c r="A133" s="5" t="inlineStr">
        <is>
          <t>组合管理+绩效归因</t>
        </is>
      </c>
      <c r="B133" s="3" t="inlineStr">
        <is>
          <t>P1</t>
        </is>
      </c>
      <c r="C133" s="3" t="inlineStr">
        <is>
          <t>F07-18</t>
        </is>
      </c>
      <c r="D133" s="4" t="inlineStr">
        <is>
          <t>因子暴露集成（消费M08，不建模）</t>
        </is>
      </c>
      <c r="E133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F133" s="5" t="inlineStr">
        <is>
          <t>组合因子暴露聚合延迟&lt;10s，因子模型解释方差&gt;80%（由M08保证），风险预算仪表盘实时刷新</t>
        </is>
      </c>
      <c r="G133" s="24" t="inlineStr">
        <is>
          <t>中</t>
        </is>
      </c>
      <c r="H133" s="8" t="n">
        <v>25</v>
      </c>
    </row>
    <row r="134" ht="20" customHeight="1">
      <c r="A134" s="22" t="inlineStr">
        <is>
          <t>【P1】 策略投资/量化  (Quant Strategy)</t>
        </is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F08-01</t>
        </is>
      </c>
      <c r="D135" s="4" t="inlineStr">
        <is>
          <t>策略编写与版本管理</t>
        </is>
      </c>
      <c r="E135" s="5" t="inlineStr">
        <is>
          <t>Python/C++策略脚本编写，沙箱隔离运行，策略版本管理，策略库分类管理（利差/基差/跨市场套利/网格/固收/量价）</t>
        </is>
      </c>
      <c r="F135" s="5" t="inlineStr">
        <is>
          <t>功能完整/边界测试/集成冒烟/性能基线</t>
        </is>
      </c>
      <c r="G135" s="23" t="inlineStr">
        <is>
          <t>高</t>
        </is>
      </c>
      <c r="H135" s="8" t="n">
        <v>40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F08-02</t>
        </is>
      </c>
      <c r="D136" s="4" t="inlineStr">
        <is>
          <t>AI辅助策略开发</t>
        </is>
      </c>
      <c r="E136" s="5" t="inlineStr">
        <is>
          <t>AI代码生成辅助，AI因子生成，AI参数优化建议，自然语言描述策略逻辑转代码</t>
        </is>
      </c>
      <c r="F136" s="5" t="inlineStr">
        <is>
          <t>功能完整/边界测试/集成冒烟/性能基线</t>
        </is>
      </c>
      <c r="G136" s="23" t="inlineStr">
        <is>
          <t>高</t>
        </is>
      </c>
      <c r="H136" s="8" t="n">
        <v>35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F08-03</t>
        </is>
      </c>
      <c r="D137" s="4" t="inlineStr">
        <is>
          <t>因子模型建设与管理（全公司SSoT）</t>
        </is>
      </c>
      <c r="E137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F137" s="5" t="inlineStr">
        <is>
          <t>功能完整/边界测试/集成冒烟/性能基线</t>
        </is>
      </c>
      <c r="G137" s="23" t="inlineStr">
        <is>
          <t>高</t>
        </is>
      </c>
      <c r="H137" s="8" t="n">
        <v>50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F08-04</t>
        </is>
      </c>
      <c r="D138" s="4" t="inlineStr">
        <is>
          <t>Tick级回测引擎</t>
        </is>
      </c>
      <c r="E138" s="5" t="inlineStr">
        <is>
          <t>Tick数据驱动回测，真实滑点/冲击模型，批量参数优化，风险计量，绩效归因，AlphaLens分析集成</t>
        </is>
      </c>
      <c r="F138" s="5" t="inlineStr">
        <is>
          <t>p99延迟/误差率/精度验证/压测10k TPS</t>
        </is>
      </c>
      <c r="G138" s="28" t="inlineStr">
        <is>
          <t>极高</t>
        </is>
      </c>
      <c r="H138" s="8" t="n">
        <v>60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F08-05</t>
        </is>
      </c>
      <c r="D139" s="4" t="inlineStr">
        <is>
          <t>模拟盘验证</t>
        </is>
      </c>
      <c r="E139" s="5" t="inlineStr">
        <is>
          <t>情景模拟，敏感度模拟，极端场景模拟，性能测试，模拟盘与实盘结果对比分析</t>
        </is>
      </c>
      <c r="F139" s="5" t="inlineStr">
        <is>
          <t>功能完整/边界测试/集成冒烟/性能基线</t>
        </is>
      </c>
      <c r="G139" s="23" t="inlineStr">
        <is>
          <t>高</t>
        </is>
      </c>
      <c r="H139" s="8" t="n">
        <v>30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F08-06</t>
        </is>
      </c>
      <c r="D140" s="4" t="inlineStr">
        <is>
          <t>策略上线审批</t>
        </is>
      </c>
      <c r="E140" s="5" t="inlineStr">
        <is>
          <t>模拟盘通过后触发上线审批流程，多级合规审核，审批留痕，参数锁定后方可实盘运行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F08-07</t>
        </is>
      </c>
      <c r="D141" s="4" t="inlineStr">
        <is>
          <t>策略运行管理</t>
        </is>
      </c>
      <c r="E141" s="5" t="inlineStr">
        <is>
          <t>实盘策略启停管理，策略状态实时监控，支持手动干预和自动触发停止，多策略并发调度</t>
        </is>
      </c>
      <c r="F141" s="5" t="inlineStr">
        <is>
          <t>功能完整/边界测试/集成冒烟/性能基线</t>
        </is>
      </c>
      <c r="G141" s="23" t="inlineStr">
        <is>
          <t>高</t>
        </is>
      </c>
      <c r="H141" s="8" t="n">
        <v>30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F08-08</t>
        </is>
      </c>
      <c r="D142" s="4" t="inlineStr">
        <is>
          <t>策略绩效分析</t>
        </is>
      </c>
      <c r="E142" s="5" t="inlineStr">
        <is>
          <t>实时PnL/持仓/回撤/Sharpe看板，策略归因分析，与基准对比，风险触发自动平仓</t>
        </is>
      </c>
      <c r="F142" s="5" t="inlineStr">
        <is>
          <t>功能测试通过/正确率100%</t>
        </is>
      </c>
      <c r="G142" s="24" t="inlineStr">
        <is>
          <t>中</t>
        </is>
      </c>
      <c r="H142" s="8" t="n">
        <v>25</v>
      </c>
    </row>
    <row r="143" ht="28" customHeight="1">
      <c r="A143" s="5" t="inlineStr">
        <is>
          <t>策略投资/量化</t>
        </is>
      </c>
      <c r="B143" s="3" t="inlineStr">
        <is>
          <t>P1</t>
        </is>
      </c>
      <c r="C143" s="3" t="inlineStr">
        <is>
          <t>F08-09</t>
        </is>
      </c>
      <c r="D143" s="4" t="inlineStr">
        <is>
          <t>实时多市场行情</t>
        </is>
      </c>
      <c r="E143" s="5" t="inlineStr">
        <is>
          <t>现券/国债期货/股票/商品实时行情聚合展示，实时利差分析，跨市场价差监控，行情小窗</t>
        </is>
      </c>
      <c r="F143" s="5" t="inlineStr">
        <is>
          <t>功能测试通过/正确率100%</t>
        </is>
      </c>
      <c r="G143" s="24" t="inlineStr">
        <is>
          <t>中</t>
        </is>
      </c>
      <c r="H143" s="8" t="n">
        <v>20</v>
      </c>
    </row>
    <row r="144" ht="28" customHeight="1">
      <c r="A144" s="5" t="inlineStr">
        <is>
          <t>策略投资/量化</t>
        </is>
      </c>
      <c r="B144" s="3" t="inlineStr">
        <is>
          <t>P1</t>
        </is>
      </c>
      <c r="C144" s="3" t="inlineStr">
        <is>
          <t>F08-10</t>
        </is>
      </c>
      <c r="D144" s="4" t="inlineStr">
        <is>
          <t>历史行情回放</t>
        </is>
      </c>
      <c r="E144" s="5" t="inlineStr">
        <is>
          <t>现券/国债期货/股票/商品历史行情回放，支持任意时间点快照，用于回测验证和策略复盘</t>
        </is>
      </c>
      <c r="F144" s="5" t="inlineStr">
        <is>
          <t>功能测试通过/正确率100%</t>
        </is>
      </c>
      <c r="G144" s="24" t="inlineStr">
        <is>
          <t>中</t>
        </is>
      </c>
      <c r="H144" s="8" t="n">
        <v>20</v>
      </c>
    </row>
    <row r="145" ht="28" customHeight="1">
      <c r="A145" s="5" t="inlineStr">
        <is>
          <t>策略投资/量化</t>
        </is>
      </c>
      <c r="B145" s="3" t="inlineStr">
        <is>
          <t>P1</t>
        </is>
      </c>
      <c r="C145" s="3" t="inlineStr">
        <is>
          <t>F08-11</t>
        </is>
      </c>
      <c r="D145" s="4" t="inlineStr">
        <is>
          <t>CEP流引擎与信号调度</t>
        </is>
      </c>
      <c r="E145" s="5" t="inlineStr">
        <is>
          <t>复杂事件处理引擎，策略信号实时计算与调度，低延迟执行接口对接ATP超低延迟执行层</t>
        </is>
      </c>
      <c r="F145" s="5" t="inlineStr">
        <is>
          <t>p99延迟/误差率/精度验证/压测10k TPS</t>
        </is>
      </c>
      <c r="G145" s="28" t="inlineStr">
        <is>
          <t>极高</t>
        </is>
      </c>
      <c r="H145" s="8" t="n">
        <v>45</v>
      </c>
    </row>
    <row r="146" ht="28" customHeight="1">
      <c r="A146" s="5" t="inlineStr">
        <is>
          <t>策略投资/量化</t>
        </is>
      </c>
      <c r="B146" s="3" t="inlineStr">
        <is>
          <t>P1</t>
        </is>
      </c>
      <c r="C146" s="3" t="inlineStr">
        <is>
          <t>F08-12</t>
        </is>
      </c>
      <c r="D146" s="4" t="inlineStr">
        <is>
          <t>量化数据底座</t>
        </is>
      </c>
      <c r="E146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F146" s="5" t="inlineStr">
        <is>
          <t>功能完整/边界测试/集成冒烟/性能基线</t>
        </is>
      </c>
      <c r="G146" s="23" t="inlineStr">
        <is>
          <t>高</t>
        </is>
      </c>
      <c r="H146" s="8" t="n">
        <v>30</v>
      </c>
    </row>
    <row r="147" ht="20" customHeight="1">
      <c r="A147" s="26" t="inlineStr">
        <is>
          <t>【P2】 定价平台  (Pricing Platform)</t>
        </is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F09-01</t>
        </is>
      </c>
      <c r="D148" s="27" t="inlineStr">
        <is>
          <t>期权收益结构定价</t>
        </is>
      </c>
      <c r="E148" s="11" t="inlineStr">
        <is>
          <t>香草期权/价差期权/欧式/美式/雪球/自定义期权定价，挂钩标的覆盖国债/期货/股票/指数/商品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60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F09-02</t>
        </is>
      </c>
      <c r="D149" s="27" t="inlineStr">
        <is>
          <t>结构化产品定价</t>
        </is>
      </c>
      <c r="E149" s="11" t="inlineStr">
        <is>
          <t>场外期权/远期/收益凭证/收益互换/融资融券/合约型互换定价，支持自定义结构化产品</t>
        </is>
      </c>
      <c r="F149" s="11" t="inlineStr">
        <is>
          <t>p99延迟/误差率/精度验证/压测10k TPS</t>
        </is>
      </c>
      <c r="G149" s="28" t="inlineStr">
        <is>
          <t>极高</t>
        </is>
      </c>
      <c r="H149" s="13" t="n">
        <v>50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F09-03</t>
        </is>
      </c>
      <c r="D150" s="27" t="inlineStr">
        <is>
          <t>固收品种定价</t>
        </is>
      </c>
      <c r="E150" s="11" t="inlineStr">
        <is>
          <t>固息/浮息国债，含权债，可转债精确定价，信用债估值，ABS定价</t>
        </is>
      </c>
      <c r="F150" s="11" t="inlineStr">
        <is>
          <t>功能完整/边界测试/集成冒烟/性能基线</t>
        </is>
      </c>
      <c r="G150" s="23" t="inlineStr">
        <is>
          <t>高</t>
        </is>
      </c>
      <c r="H150" s="13" t="n">
        <v>40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F09-04</t>
        </is>
      </c>
      <c r="D151" s="27" t="inlineStr">
        <is>
          <t>利率与信用曲线构建（全公司统一曲线服务）</t>
        </is>
      </c>
      <c r="E151" s="11" t="inlineStr">
        <is>
          <t>利率曲线（多插值方法）、信用利差曲线、利差曲线、违底线、全品种统一曲线服务（为M04风险计量/M07组合管理/M08因子模型/M01预测分析提供曲线基础）；新增automated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Dashboard；支持多曲线框架（OIS/SOFR vs LIBOR/SONIA basis）供XVA引擎消费</t>
        </is>
      </c>
      <c r="F151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real-time，API支持≥10个下游消费系统并发请求</t>
        </is>
      </c>
      <c r="G151" s="28" t="inlineStr">
        <is>
          <t>极高</t>
        </is>
      </c>
      <c r="H151" s="13" t="n">
        <v>70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F09-05</t>
        </is>
      </c>
      <c r="D152" s="27" t="inlineStr">
        <is>
          <t>波动率曲面构建</t>
        </is>
      </c>
      <c r="E152" s="11" t="inlineStr">
        <is>
          <t>隐含波动率曲面，红利曲线，汇率曲线，Local Volatility曲面，波动率微笑校准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50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F09-06</t>
        </is>
      </c>
      <c r="D153" s="27" t="inlineStr">
        <is>
          <t>市场数据管理</t>
        </is>
      </c>
      <c r="E153" s="11" t="inlineStr">
        <is>
          <t>境内外权益/债券/外汇/商品资讯统一接入，数据清洗，异常值处理，数据质量监控</t>
        </is>
      </c>
      <c r="F153" s="11" t="inlineStr">
        <is>
          <t>功能完整/边界测试/集成冒烟/性能基线</t>
        </is>
      </c>
      <c r="G153" s="23" t="inlineStr">
        <is>
          <t>高</t>
        </is>
      </c>
      <c r="H153" s="13" t="n">
        <v>30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F09-07</t>
        </is>
      </c>
      <c r="D154" s="27" t="inlineStr">
        <is>
          <t>蒙特卡洛求解器</t>
        </is>
      </c>
      <c r="E154" s="11" t="inlineStr">
        <is>
          <t>GPU加速MC，QMC低差异序列，支持路径相关期权定价，并行情景模拟</t>
        </is>
      </c>
      <c r="F154" s="11" t="inlineStr">
        <is>
          <t>p99延迟/误差率/精度验证/压测10k TPS</t>
        </is>
      </c>
      <c r="G154" s="28" t="inlineStr">
        <is>
          <t>极高</t>
        </is>
      </c>
      <c r="H154" s="13" t="n">
        <v>70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F09-08</t>
        </is>
      </c>
      <c r="D155" s="27" t="inlineStr">
        <is>
          <t>解析解与数值解</t>
        </is>
      </c>
      <c r="E155" s="11" t="inlineStr">
        <is>
          <t>Black-Scholes解析解，Hull-White利率模型，SABR波动率模型，二叉树/三叉树数值解</t>
        </is>
      </c>
      <c r="F155" s="11" t="inlineStr">
        <is>
          <t>p99延迟/误差率/精度验证/压测10k TPS</t>
        </is>
      </c>
      <c r="G155" s="28" t="inlineStr">
        <is>
          <t>极高</t>
        </is>
      </c>
      <c r="H155" s="13" t="n">
        <v>60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F09-09</t>
        </is>
      </c>
      <c r="D156" s="27" t="inlineStr">
        <is>
          <t>有限差分（PDE）</t>
        </is>
      </c>
      <c r="E156" s="11" t="inlineStr">
        <is>
          <t>Crank-Nicolson/ADI方法，含权债/可转债精确定价，局部波动率模型数值解</t>
        </is>
      </c>
      <c r="F156" s="11" t="inlineStr">
        <is>
          <t>p99延迟/误差率/精度验证/压测10k TPS</t>
        </is>
      </c>
      <c r="G156" s="28" t="inlineStr">
        <is>
          <t>极高</t>
        </is>
      </c>
      <c r="H156" s="13" t="n">
        <v>60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F09-10</t>
        </is>
      </c>
      <c r="D157" s="27" t="inlineStr">
        <is>
          <t>实时Greeks与敏感度计算（M01/M04/M07/M08共用基础）</t>
        </is>
      </c>
      <c r="E157" s="11" t="inlineStr">
        <is>
          <t>分布式实时计算全品种逐券敏感度，结果为M01衍生品MtM/M04风险聚合/M07归因展示/M08因子载荷四方共用权威数据源：Delta/Gamma/Vega/Theta/Rho（期权/结构化产品），DV01/CS01/Key Rate Duration分桶（KRD，覆盖含权债/可转债/利率债全品种），分桶利差敏感度。本模块为唯一定价计算权威，所有消费方禁止重复计算（M04 F04-08/F04-09/M07 F07-12/M08因子载荷均为消费视图）</t>
        </is>
      </c>
      <c r="F157" s="11" t="inlineStr">
        <is>
          <t>全品种Greeks/DV01/CS01/KRD覆盖率100%，单券计算延迟&lt;200ms，并发支持≥20消费方</t>
        </is>
      </c>
      <c r="G157" s="23" t="inlineStr">
        <is>
          <t>高</t>
        </is>
      </c>
      <c r="H157" s="13" t="n">
        <v>40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F09-11</t>
        </is>
      </c>
      <c r="D158" s="27" t="inlineStr">
        <is>
          <t>估值与结算计算</t>
        </is>
      </c>
      <c r="E158" s="11" t="inlineStr">
        <is>
          <t>日终估值，盯市计算，保证金计算，结算价格，历史估值回测与误差分析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40</v>
      </c>
    </row>
    <row r="159" ht="28" customHeight="1">
      <c r="A159" s="11" t="inlineStr">
        <is>
          <t>定价平台</t>
        </is>
      </c>
      <c r="B159" s="10" t="inlineStr">
        <is>
          <t>P2</t>
        </is>
      </c>
      <c r="C159" s="10" t="inlineStr">
        <is>
          <t>F09-12</t>
        </is>
      </c>
      <c r="D159" s="27" t="inlineStr">
        <is>
          <t>风控与情景计算</t>
        </is>
      </c>
      <c r="E159" s="11" t="inlineStr">
        <is>
          <t>风险计量（VaR/压力测试）调用，情景分析，保证金计算，为风控平台提供统一定价接口</t>
        </is>
      </c>
      <c r="F159" s="11" t="inlineStr">
        <is>
          <t>功能完整/边界测试/集成冒烟/性能基线</t>
        </is>
      </c>
      <c r="G159" s="23" t="inlineStr">
        <is>
          <t>高</t>
        </is>
      </c>
      <c r="H159" s="13" t="n">
        <v>35</v>
      </c>
    </row>
    <row r="160" ht="28" customHeight="1">
      <c r="A160" s="11" t="inlineStr">
        <is>
          <t>定价平台</t>
        </is>
      </c>
      <c r="B160" s="10" t="inlineStr">
        <is>
          <t>P2</t>
        </is>
      </c>
      <c r="C160" s="10" t="inlineStr">
        <is>
          <t>F09-13</t>
        </is>
      </c>
      <c r="D160" s="27" t="inlineStr">
        <is>
          <t>客需报价服务</t>
        </is>
      </c>
      <c r="E160" s="11" t="inlineStr">
        <is>
          <t>为销售交易/TRS系统提供实时报价，一站式报价接口，支持结构化产品定制化快速报价</t>
        </is>
      </c>
      <c r="F160" s="11" t="inlineStr">
        <is>
          <t>功能完整/边界测试/集成冒烟/性能基线</t>
        </is>
      </c>
      <c r="G160" s="23" t="inlineStr">
        <is>
          <t>高</t>
        </is>
      </c>
      <c r="H160" s="13" t="n">
        <v>35</v>
      </c>
    </row>
    <row r="161" ht="28" customHeight="1">
      <c r="A161" s="11" t="inlineStr">
        <is>
          <t>定价平台</t>
        </is>
      </c>
      <c r="B161" s="10" t="inlineStr">
        <is>
          <t>P2</t>
        </is>
      </c>
      <c r="C161" s="10" t="inlineStr">
        <is>
          <t>F09-16</t>
        </is>
      </c>
      <c r="D161" s="27" t="inlineStr">
        <is>
          <t>XVA计算引擎（CVA/DVA/FVA）</t>
        </is>
      </c>
      <c r="E161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F161" s="11" t="inlineStr">
        <is>
          <t>CVA计算单笔IRS p99&lt;1s，EPE曲线与行业工具误差&lt;2%，IFRS 13文档输出满足审计要求</t>
        </is>
      </c>
      <c r="G161" s="28" t="inlineStr">
        <is>
          <t>极高</t>
        </is>
      </c>
      <c r="H161" s="13" t="n">
        <v>50</v>
      </c>
    </row>
    <row r="162" ht="28" customHeight="1">
      <c r="A162" s="11" t="inlineStr">
        <is>
          <t>定价平台</t>
        </is>
      </c>
      <c r="B162" s="10" t="inlineStr">
        <is>
          <t>P2</t>
        </is>
      </c>
      <c r="C162" s="10" t="inlineStr">
        <is>
          <t>F09-14</t>
        </is>
      </c>
      <c r="D162" s="27" t="inlineStr">
        <is>
          <t>定价微服务架构</t>
        </is>
      </c>
      <c r="E162" s="11" t="inlineStr">
        <is>
          <t>REST/gRPC定价API，横向弹性扩容，p99&lt;100ms，模型插件化注册，版本管理</t>
        </is>
      </c>
      <c r="F162" s="11" t="inlineStr">
        <is>
          <t>功能完整/边界测试/集成冒烟/性能基线</t>
        </is>
      </c>
      <c r="G162" s="23" t="inlineStr">
        <is>
          <t>高</t>
        </is>
      </c>
      <c r="H162" s="13" t="n">
        <v>40</v>
      </c>
    </row>
    <row r="163" ht="28" customHeight="1">
      <c r="A163" s="11" t="inlineStr">
        <is>
          <t>定价平台</t>
        </is>
      </c>
      <c r="B163" s="10" t="inlineStr">
        <is>
          <t>P2</t>
        </is>
      </c>
      <c r="C163" s="10" t="inlineStr">
        <is>
          <t>F09-15</t>
        </is>
      </c>
      <c r="D163" s="27" t="inlineStr">
        <is>
          <t>灵活二次开发能力</t>
        </is>
      </c>
      <c r="E163" s="11" t="inlineStr">
        <is>
          <t>全平台级/单功能模块级/系统框架级可扩展，支持自定义模型接入，策略团队自助扩展</t>
        </is>
      </c>
      <c r="F163" s="11" t="inlineStr">
        <is>
          <t>功能完整/边界测试/集成冒烟/性能基线</t>
        </is>
      </c>
      <c r="G163" s="23" t="inlineStr">
        <is>
          <t>高</t>
        </is>
      </c>
      <c r="H163" s="13" t="n">
        <v>30</v>
      </c>
    </row>
    <row r="164" ht="28" customHeight="1">
      <c r="A164" s="11" t="inlineStr">
        <is>
          <t>定价平台</t>
        </is>
      </c>
      <c r="B164" s="10" t="inlineStr">
        <is>
          <t>P2</t>
        </is>
      </c>
      <c r="C164" s="10" t="inlineStr">
        <is>
          <t>F09-17</t>
        </is>
      </c>
      <c r="D164" s="27" t="inlineStr">
        <is>
          <t>定价模型验证与P&amp;L Explain</t>
        </is>
      </c>
      <c r="E164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F164" s="11" t="inlineStr">
        <is>
          <t>P&amp;L Explain覆盖率≥95%持仓，差异阈值可配，争议定价T+5内完整复现，模型回测报告月度自动生成</t>
        </is>
      </c>
      <c r="G164" s="23" t="inlineStr">
        <is>
          <t>高</t>
        </is>
      </c>
      <c r="H164" s="13" t="n">
        <v>30</v>
      </c>
    </row>
    <row r="165" ht="20" customHeight="1">
      <c r="A165" s="26" t="inlineStr">
        <is>
          <t>【P2】 销售交易  (Sales Trading)</t>
        </is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F10-01</t>
        </is>
      </c>
      <c r="D166" s="27" t="inlineStr">
        <is>
          <t>报价工作台</t>
        </is>
      </c>
      <c r="E166" s="11" t="inlineStr">
        <is>
          <t>历史报价管理，当日报价快捷操作，导入/导出报价，一键unrefer，报价提醒功能</t>
        </is>
      </c>
      <c r="F166" s="11" t="inlineStr">
        <is>
          <t>功能测试通过/正确率100%</t>
        </is>
      </c>
      <c r="G166" s="24" t="inlineStr">
        <is>
          <t>中</t>
        </is>
      </c>
      <c r="H166" s="13" t="n">
        <v>20</v>
      </c>
    </row>
    <row r="167" ht="28" customHeight="1">
      <c r="A167" s="11" t="inlineStr">
        <is>
          <t>销售交易</t>
        </is>
      </c>
      <c r="B167" s="10" t="inlineStr">
        <is>
          <t>P2</t>
        </is>
      </c>
      <c r="C167" s="10" t="inlineStr">
        <is>
          <t>F10-02</t>
        </is>
      </c>
      <c r="D167" s="27" t="inlineStr">
        <is>
          <t>债券过滤与筛选</t>
        </is>
      </c>
      <c r="E167" s="11" t="inlineStr">
        <is>
          <t>信用债全品种过滤，利率债（国债/证金债/地方债）过滤，精确识别与模糊识别双模式</t>
        </is>
      </c>
      <c r="F167" s="11" t="inlineStr">
        <is>
          <t>功能测试通过</t>
        </is>
      </c>
      <c r="G167" s="25" t="inlineStr">
        <is>
          <t>低</t>
        </is>
      </c>
      <c r="H167" s="13" t="n">
        <v>10</v>
      </c>
    </row>
    <row r="168" ht="28" customHeight="1">
      <c r="A168" s="11" t="inlineStr">
        <is>
          <t>销售交易</t>
        </is>
      </c>
      <c r="B168" s="10" t="inlineStr">
        <is>
          <t>P2</t>
        </is>
      </c>
      <c r="C168" s="10" t="inlineStr">
        <is>
          <t>F10-03</t>
        </is>
      </c>
      <c r="D168" s="27" t="inlineStr">
        <is>
          <t>报价撮合与对价</t>
        </is>
      </c>
      <c r="E168" s="11" t="inlineStr">
        <is>
          <t>对价/最优报价聚合展示，撮合对价，交易包管理，报价成交确认，一键成交</t>
        </is>
      </c>
      <c r="F168" s="11" t="inlineStr">
        <is>
          <t>功能测试通过/正确率100%</t>
        </is>
      </c>
      <c r="G168" s="24" t="inlineStr">
        <is>
          <t>中</t>
        </is>
      </c>
      <c r="H168" s="13" t="n">
        <v>20</v>
      </c>
    </row>
    <row r="169" ht="28" customHeight="1">
      <c r="A169" s="11" t="inlineStr">
        <is>
          <t>销售交易</t>
        </is>
      </c>
      <c r="B169" s="10" t="inlineStr">
        <is>
          <t>P2</t>
        </is>
      </c>
      <c r="C169" s="10" t="inlineStr">
        <is>
          <t>F10-04</t>
        </is>
      </c>
      <c r="D169" s="27" t="inlineStr">
        <is>
          <t>交易执行与要素校验</t>
        </is>
      </c>
      <c r="E169" s="11" t="inlineStr">
        <is>
          <t>意向达成，交易要素自动校验，手工价录入，业务审批流程，交易记录管理</t>
        </is>
      </c>
      <c r="F169" s="11" t="inlineStr">
        <is>
          <t>功能测试通过/正确率100%</t>
        </is>
      </c>
      <c r="G169" s="24" t="inlineStr">
        <is>
          <t>中</t>
        </is>
      </c>
      <c r="H169" s="13" t="n">
        <v>15</v>
      </c>
    </row>
    <row r="170" ht="28" customHeight="1">
      <c r="A170" s="11" t="inlineStr">
        <is>
          <t>销售交易</t>
        </is>
      </c>
      <c r="B170" s="10" t="inlineStr">
        <is>
          <t>P2</t>
        </is>
      </c>
      <c r="C170" s="10" t="inlineStr">
        <is>
          <t>F10-05</t>
        </is>
      </c>
      <c r="D170" s="27" t="inlineStr">
        <is>
          <t>风控检查</t>
        </is>
      </c>
      <c r="E170" s="11" t="inlineStr">
        <is>
          <t>交易前风控规则同步校验，限额检查，合规拦截，风控记录留痕，不通过自动拦截</t>
        </is>
      </c>
      <c r="F170" s="11" t="inlineStr">
        <is>
          <t>功能测试通过/正确率100%</t>
        </is>
      </c>
      <c r="G170" s="24" t="inlineStr">
        <is>
          <t>中</t>
        </is>
      </c>
      <c r="H170" s="13" t="n">
        <v>15</v>
      </c>
    </row>
    <row r="171" ht="28" customHeight="1">
      <c r="A171" s="11" t="inlineStr">
        <is>
          <t>销售交易</t>
        </is>
      </c>
      <c r="B171" s="10" t="inlineStr">
        <is>
          <t>P2</t>
        </is>
      </c>
      <c r="C171" s="10" t="inlineStr">
        <is>
          <t>F10-06</t>
        </is>
      </c>
      <c r="D171" s="27" t="inlineStr">
        <is>
          <t>智能推荐系统</t>
        </is>
      </c>
      <c r="E171" s="11" t="inlineStr">
        <is>
          <t>基于客户画像与历史交易数据主动推荐券种，从被动服务转向主动服务，提升客户响应效率</t>
        </is>
      </c>
      <c r="F171" s="11" t="inlineStr">
        <is>
          <t>功能完整/边界测试/集成冒烟/性能基线</t>
        </is>
      </c>
      <c r="G171" s="23" t="inlineStr">
        <is>
          <t>高</t>
        </is>
      </c>
      <c r="H171" s="13" t="n">
        <v>25</v>
      </c>
    </row>
    <row r="172" ht="28" customHeight="1">
      <c r="A172" s="11" t="inlineStr">
        <is>
          <t>销售交易</t>
        </is>
      </c>
      <c r="B172" s="10" t="inlineStr">
        <is>
          <t>P2</t>
        </is>
      </c>
      <c r="C172" s="10" t="inlineStr">
        <is>
          <t>F10-07</t>
        </is>
      </c>
      <c r="D172" s="27" t="inlineStr">
        <is>
          <t>综合业务平台</t>
        </is>
      </c>
      <c r="E172" s="11" t="inlineStr">
        <is>
          <t>解决交易员分散办公与客户交易信息共享问题，报价聚合展示，客户快速服务，多地协同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15</v>
      </c>
    </row>
    <row r="173" ht="20" customHeight="1">
      <c r="A173" s="26" t="inlineStr">
        <is>
          <t>【P2】 信用债/信用衍生品  (Credit Bond &amp; CDS)</t>
        </is>
      </c>
    </row>
    <row r="174" ht="28" customHeight="1">
      <c r="A174" s="11" t="inlineStr">
        <is>
          <t>信用债/信用衍生品</t>
        </is>
      </c>
      <c r="B174" s="10" t="inlineStr">
        <is>
          <t>P2</t>
        </is>
      </c>
      <c r="C174" s="10" t="inlineStr">
        <is>
          <t>F11-01</t>
        </is>
      </c>
      <c r="D174" s="27" t="inlineStr">
        <is>
          <t>信用风险数据接入</t>
        </is>
      </c>
      <c r="E174" s="11" t="inlineStr">
        <is>
          <t>外部信用数据服务接入（Wind/中诚信/联合评级等），内部数据整合，数据质量检查，信用风险数据集市</t>
        </is>
      </c>
      <c r="F174" s="11" t="inlineStr">
        <is>
          <t>功能完整/边界测试/集成冒烟/性能基线</t>
        </is>
      </c>
      <c r="G174" s="23" t="inlineStr">
        <is>
          <t>高</t>
        </is>
      </c>
      <c r="H174" s="13" t="n">
        <v>30</v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F11-02</t>
        </is>
      </c>
      <c r="D175" s="27" t="inlineStr">
        <is>
          <t>信用评估引擎</t>
        </is>
      </c>
      <c r="E175" s="11" t="inlineStr">
        <is>
          <t>持续迭代信用评价引擎，资产证券化评价，交易对手评价，违约概率（PD）建模，信用评分</t>
        </is>
      </c>
      <c r="F175" s="11" t="inlineStr">
        <is>
          <t>p99延迟/误差率/精度验证/压测10k TPS</t>
        </is>
      </c>
      <c r="G175" s="28" t="inlineStr">
        <is>
          <t>极高</t>
        </is>
      </c>
      <c r="H175" s="13" t="n">
        <v>40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F11-03</t>
        </is>
      </c>
      <c r="D176" s="27" t="inlineStr">
        <is>
          <t>信用预警系统</t>
        </is>
      </c>
      <c r="E176" s="11" t="inlineStr">
        <is>
          <t>市场数据自动触发预警，评级下调动态预警，投后预警跟踪与信号处理，预警规则配置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30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F11-04</t>
        </is>
      </c>
      <c r="D177" s="27" t="inlineStr">
        <is>
          <t>投资池管理</t>
        </is>
      </c>
      <c r="E177" s="11" t="inlineStr">
        <is>
          <t>债券池配置与维护，债券准入/退出规则，白名单/黑名单管理，池状态实时更新</t>
        </is>
      </c>
      <c r="F177" s="11" t="inlineStr">
        <is>
          <t>功能测试通过/正确率100%</t>
        </is>
      </c>
      <c r="G177" s="24" t="inlineStr">
        <is>
          <t>中</t>
        </is>
      </c>
      <c r="H177" s="13" t="n">
        <v>20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F11-05</t>
        </is>
      </c>
      <c r="D178" s="27" t="inlineStr">
        <is>
          <t>评级管理</t>
        </is>
      </c>
      <c r="E178" s="11" t="inlineStr">
        <is>
          <t>内部评级录入与更新，外部评级同步（中诚信/联合/大公），评级变更历史追踪，评级模型管理</t>
        </is>
      </c>
      <c r="F178" s="11" t="inlineStr">
        <is>
          <t>功能测试通过/正确率100%</t>
        </is>
      </c>
      <c r="G178" s="24" t="inlineStr">
        <is>
          <t>中</t>
        </is>
      </c>
      <c r="H178" s="13" t="n">
        <v>20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F11-06</t>
        </is>
      </c>
      <c r="D179" s="27" t="inlineStr">
        <is>
          <t>投前审批管理</t>
        </is>
      </c>
      <c r="E179" s="11" t="inlineStr">
        <is>
          <t>新券投资准入审批流程，信用额度申请，投资决策材料生成，审批记录留痕</t>
        </is>
      </c>
      <c r="F179" s="11" t="inlineStr">
        <is>
          <t>功能测试通过/正确率100%</t>
        </is>
      </c>
      <c r="G179" s="24" t="inlineStr">
        <is>
          <t>中</t>
        </is>
      </c>
      <c r="H179" s="13" t="n">
        <v>20</v>
      </c>
    </row>
    <row r="180" ht="28" customHeight="1">
      <c r="A180" s="11" t="inlineStr">
        <is>
          <t>信用债/信用衍生品</t>
        </is>
      </c>
      <c r="B180" s="10" t="inlineStr">
        <is>
          <t>P2</t>
        </is>
      </c>
      <c r="C180" s="10" t="inlineStr">
        <is>
          <t>F11-07</t>
        </is>
      </c>
      <c r="D180" s="27" t="inlineStr">
        <is>
          <t>持仓与敞口管理</t>
        </is>
      </c>
      <c r="E180" s="11" t="inlineStr">
        <is>
          <t>信用债持仓实时查询，敞口管理，集中度分析（行业/评级/发行人），到期提醒</t>
        </is>
      </c>
      <c r="F180" s="11" t="inlineStr">
        <is>
          <t>功能测试通过/正确率100%</t>
        </is>
      </c>
      <c r="G180" s="24" t="inlineStr">
        <is>
          <t>中</t>
        </is>
      </c>
      <c r="H180" s="13" t="n">
        <v>20</v>
      </c>
    </row>
    <row r="181" ht="28" customHeight="1">
      <c r="A181" s="11" t="inlineStr">
        <is>
          <t>信用债/信用衍生品</t>
        </is>
      </c>
      <c r="B181" s="10" t="inlineStr">
        <is>
          <t>P2</t>
        </is>
      </c>
      <c r="C181" s="10" t="inlineStr">
        <is>
          <t>F11-08</t>
        </is>
      </c>
      <c r="D181" s="27" t="inlineStr">
        <is>
          <t>信用风险监控看板</t>
        </is>
      </c>
      <c r="E181" s="11" t="inlineStr">
        <is>
          <t>多维度风险指标实时监控，信用利差走势，主体信用事件推送，指标监控与查询统计</t>
        </is>
      </c>
      <c r="F181" s="11" t="inlineStr">
        <is>
          <t>功能完整/边界测试/集成冒烟/性能基线</t>
        </is>
      </c>
      <c r="G181" s="23" t="inlineStr">
        <is>
          <t>高</t>
        </is>
      </c>
      <c r="H181" s="13" t="n">
        <v>25</v>
      </c>
    </row>
    <row r="182" ht="28" customHeight="1">
      <c r="A182" s="11" t="inlineStr">
        <is>
          <t>信用债/信用衍生品</t>
        </is>
      </c>
      <c r="B182" s="10" t="inlineStr">
        <is>
          <t>P2</t>
        </is>
      </c>
      <c r="C182" s="10" t="inlineStr">
        <is>
          <t>F11-09</t>
        </is>
      </c>
      <c r="D182" s="27" t="inlineStr">
        <is>
          <t>违约管理</t>
        </is>
      </c>
      <c r="E182" s="11" t="inlineStr">
        <is>
          <t>违约事件记录，违约债券处置跟踪，损失估算，监管报送，违约主体黑名单自动更新</t>
        </is>
      </c>
      <c r="F182" s="11" t="inlineStr">
        <is>
          <t>功能完整/边界测试/集成冒烟/性能基线</t>
        </is>
      </c>
      <c r="G182" s="23" t="inlineStr">
        <is>
          <t>高</t>
        </is>
      </c>
      <c r="H182" s="13" t="n">
        <v>25</v>
      </c>
    </row>
    <row r="183" ht="28" customHeight="1">
      <c r="A183" s="11" t="inlineStr">
        <is>
          <t>信用债/信用衍生品</t>
        </is>
      </c>
      <c r="B183" s="10" t="inlineStr">
        <is>
          <t>P2</t>
        </is>
      </c>
      <c r="C183" s="10" t="inlineStr">
        <is>
          <t>F11-10</t>
        </is>
      </c>
      <c r="D183" s="27" t="inlineStr">
        <is>
          <t>信用利差分析</t>
        </is>
      </c>
      <c r="E183" s="11" t="inlineStr">
        <is>
          <t>行业/评级/期限信用利差曲线实时计算，历史分位数分析，利差走势，相对价值分析</t>
        </is>
      </c>
      <c r="F183" s="11" t="inlineStr">
        <is>
          <t>功能完整/边界测试/集成冒烟/性能基线</t>
        </is>
      </c>
      <c r="G183" s="23" t="inlineStr">
        <is>
          <t>高</t>
        </is>
      </c>
      <c r="H183" s="13" t="n">
        <v>30</v>
      </c>
    </row>
    <row r="184" ht="28" customHeight="1">
      <c r="A184" s="11" t="inlineStr">
        <is>
          <t>信用债/信用衍生品</t>
        </is>
      </c>
      <c r="B184" s="10" t="inlineStr">
        <is>
          <t>P2</t>
        </is>
      </c>
      <c r="C184" s="10" t="inlineStr">
        <is>
          <t>F11-11</t>
        </is>
      </c>
      <c r="D184" s="27" t="inlineStr">
        <is>
          <t>CDS定价与管理</t>
        </is>
      </c>
      <c r="E184" s="11" t="inlineStr">
        <is>
          <t>信用违约互换定价（ISDA标准），生存概率曲线校准，CDS交易录入与持仓管理</t>
        </is>
      </c>
      <c r="F184" s="11" t="inlineStr">
        <is>
          <t>p99延迟/误差率/精度验证/压测10k TPS</t>
        </is>
      </c>
      <c r="G184" s="28" t="inlineStr">
        <is>
          <t>极高</t>
        </is>
      </c>
      <c r="H184" s="13" t="n">
        <v>40</v>
      </c>
    </row>
    <row r="185" ht="28" customHeight="1">
      <c r="A185" s="11" t="inlineStr">
        <is>
          <t>信用债/信用衍生品</t>
        </is>
      </c>
      <c r="B185" s="10" t="inlineStr">
        <is>
          <t>P2</t>
        </is>
      </c>
      <c r="C185" s="10" t="inlineStr">
        <is>
          <t>F11-12</t>
        </is>
      </c>
      <c r="D185" s="27" t="inlineStr">
        <is>
          <t>配置与权限管理</t>
        </is>
      </c>
      <c r="E185" s="11" t="inlineStr">
        <is>
          <t>预警规则配置，指标库管理，评级模型管理，用户权限管理，债券池配置管理</t>
        </is>
      </c>
      <c r="F185" s="11" t="inlineStr">
        <is>
          <t>功能测试通过</t>
        </is>
      </c>
      <c r="G185" s="25" t="inlineStr">
        <is>
          <t>低</t>
        </is>
      </c>
      <c r="H185" s="13" t="n">
        <v>15</v>
      </c>
    </row>
    <row r="186" ht="20" customHeight="1">
      <c r="A186" s="26" t="inlineStr">
        <is>
          <t>【P2】 投顾服务  (Investment Advisory)</t>
        </is>
      </c>
    </row>
    <row r="187" ht="28" customHeight="1">
      <c r="A187" s="11" t="inlineStr">
        <is>
          <t>投顾服务</t>
        </is>
      </c>
      <c r="B187" s="10" t="inlineStr">
        <is>
          <t>P2</t>
        </is>
      </c>
      <c r="C187" s="10" t="inlineStr">
        <is>
          <t>F12-01</t>
        </is>
      </c>
      <c r="D187" s="27" t="inlineStr">
        <is>
          <t>投顾操作工作台</t>
        </is>
      </c>
      <c r="E187" s="11" t="inlineStr">
        <is>
          <t>投顾人员管理客户委托，上传研究报告，发送投资建议，查看客户反馈与确认状态</t>
        </is>
      </c>
      <c r="F187" s="11" t="inlineStr">
        <is>
          <t>功能测试通过/正确率100%</t>
        </is>
      </c>
      <c r="G187" s="24" t="inlineStr">
        <is>
          <t>中</t>
        </is>
      </c>
      <c r="H187" s="13" t="n">
        <v>20</v>
      </c>
    </row>
    <row r="188" ht="28" customHeight="1">
      <c r="A188" s="11" t="inlineStr">
        <is>
          <t>投顾服务</t>
        </is>
      </c>
      <c r="B188" s="10" t="inlineStr">
        <is>
          <t>P2</t>
        </is>
      </c>
      <c r="C188" s="10" t="inlineStr">
        <is>
          <t>F12-02</t>
        </is>
      </c>
      <c r="D188" s="27" t="inlineStr">
        <is>
          <t>投资建议书管理</t>
        </is>
      </c>
      <c r="E188" s="11" t="inlineStr">
        <is>
          <t>投资建议书线上生成与审批，客户确认全流程，留痕追溯，电子签收，历史建议书归档</t>
        </is>
      </c>
      <c r="F188" s="11" t="inlineStr">
        <is>
          <t>功能测试通过/正确率100%</t>
        </is>
      </c>
      <c r="G188" s="24" t="inlineStr">
        <is>
          <t>中</t>
        </is>
      </c>
      <c r="H188" s="13" t="n">
        <v>20</v>
      </c>
    </row>
    <row r="189" ht="28" customHeight="1">
      <c r="A189" s="11" t="inlineStr">
        <is>
          <t>投顾服务</t>
        </is>
      </c>
      <c r="B189" s="10" t="inlineStr">
        <is>
          <t>P2</t>
        </is>
      </c>
      <c r="C189" s="10" t="inlineStr">
        <is>
          <t>F12-03</t>
        </is>
      </c>
      <c r="D189" s="27" t="inlineStr">
        <is>
          <t>投研报告服务</t>
        </is>
      </c>
      <c r="E189" s="11" t="inlineStr">
        <is>
          <t>日/周/月研究报告上传与定向推送，RPA自动获取基础数据，报告分类管理与检索</t>
        </is>
      </c>
      <c r="F189" s="11" t="inlineStr">
        <is>
          <t>功能测试通过/正确率100%</t>
        </is>
      </c>
      <c r="G189" s="24" t="inlineStr">
        <is>
          <t>中</t>
        </is>
      </c>
      <c r="H189" s="13" t="n">
        <v>15</v>
      </c>
    </row>
    <row r="190" ht="28" customHeight="1">
      <c r="A190" s="11" t="inlineStr">
        <is>
          <t>投顾服务</t>
        </is>
      </c>
      <c r="B190" s="10" t="inlineStr">
        <is>
          <t>P2</t>
        </is>
      </c>
      <c r="C190" s="10" t="inlineStr">
        <is>
          <t>F12-04</t>
        </is>
      </c>
      <c r="D190" s="27" t="inlineStr">
        <is>
          <t>客户投资服务界面</t>
        </is>
      </c>
      <c r="E190" s="11" t="inlineStr">
        <is>
          <t>客户查看投资建议与分析报告，发送确认，查看账户净值走势、持仓明细、交易明细</t>
        </is>
      </c>
      <c r="F190" s="11" t="inlineStr">
        <is>
          <t>功能测试通过/正确率100%</t>
        </is>
      </c>
      <c r="G190" s="24" t="inlineStr">
        <is>
          <t>中</t>
        </is>
      </c>
      <c r="H190" s="13" t="n">
        <v>20</v>
      </c>
    </row>
    <row r="191" ht="28" customHeight="1">
      <c r="A191" s="11" t="inlineStr">
        <is>
          <t>投顾服务</t>
        </is>
      </c>
      <c r="B191" s="10" t="inlineStr">
        <is>
          <t>P2</t>
        </is>
      </c>
      <c r="C191" s="10" t="inlineStr">
        <is>
          <t>F12-05</t>
        </is>
      </c>
      <c r="D191" s="27" t="inlineStr">
        <is>
          <t>账户深度分析</t>
        </is>
      </c>
      <c r="E191" s="11" t="inlineStr">
        <is>
          <t>账户净值走势，久期走势，归因分析，估值台账，持仓明细，交易明细，定期分析报告生成</t>
        </is>
      </c>
      <c r="F191" s="11" t="inlineStr">
        <is>
          <t>功能完整/边界测试/集成冒烟/性能基线</t>
        </is>
      </c>
      <c r="G191" s="23" t="inlineStr">
        <is>
          <t>高</t>
        </is>
      </c>
      <c r="H191" s="13" t="n">
        <v>25</v>
      </c>
    </row>
    <row r="192" ht="28" customHeight="1">
      <c r="A192" s="11" t="inlineStr">
        <is>
          <t>投顾服务</t>
        </is>
      </c>
      <c r="B192" s="10" t="inlineStr">
        <is>
          <t>P2</t>
        </is>
      </c>
      <c r="C192" s="10" t="inlineStr">
        <is>
          <t>F12-06</t>
        </is>
      </c>
      <c r="D192" s="27" t="inlineStr">
        <is>
          <t>交易服务对接</t>
        </is>
      </c>
      <c r="E192" s="11" t="inlineStr">
        <is>
          <t>客户查看投资建议后直接触发交易委托，与销售交易系统对接，全程数字化交易确认</t>
        </is>
      </c>
      <c r="F192" s="11" t="inlineStr">
        <is>
          <t>功能测试通过/正确率100%</t>
        </is>
      </c>
      <c r="G192" s="24" t="inlineStr">
        <is>
          <t>中</t>
        </is>
      </c>
      <c r="H192" s="13" t="n">
        <v>15</v>
      </c>
    </row>
    <row r="193" ht="28" customHeight="1">
      <c r="A193" s="11" t="inlineStr">
        <is>
          <t>投顾服务</t>
        </is>
      </c>
      <c r="B193" s="10" t="inlineStr">
        <is>
          <t>P2</t>
        </is>
      </c>
      <c r="C193" s="10" t="inlineStr">
        <is>
          <t>F12-07</t>
        </is>
      </c>
      <c r="D193" s="27" t="inlineStr">
        <is>
          <t>客户服务中心</t>
        </is>
      </c>
      <c r="E193" s="11" t="inlineStr">
        <is>
          <t>服务中心，消息中心，常见问题，问卷系统，客户满意度管理</t>
        </is>
      </c>
      <c r="F193" s="11" t="inlineStr">
        <is>
          <t>功能测试通过</t>
        </is>
      </c>
      <c r="G193" s="25" t="inlineStr">
        <is>
          <t>低</t>
        </is>
      </c>
      <c r="H193" s="13" t="n">
        <v>10</v>
      </c>
    </row>
    <row r="194" ht="28" customHeight="1">
      <c r="A194" s="11" t="inlineStr">
        <is>
          <t>投顾服务</t>
        </is>
      </c>
      <c r="B194" s="10" t="inlineStr">
        <is>
          <t>P2</t>
        </is>
      </c>
      <c r="C194" s="10" t="inlineStr">
        <is>
          <t>F12-08</t>
        </is>
      </c>
      <c r="D194" s="27" t="inlineStr">
        <is>
          <t>平台基础管理</t>
        </is>
      </c>
      <c r="E194" s="11" t="inlineStr">
        <is>
          <t>用户管理，账户管理，数据管理，消息群发，登录注册，权限控制</t>
        </is>
      </c>
      <c r="F194" s="11" t="inlineStr">
        <is>
          <t>功能测试通过</t>
        </is>
      </c>
      <c r="G194" s="25" t="inlineStr">
        <is>
          <t>低</t>
        </is>
      </c>
      <c r="H194" s="13" t="n">
        <v>10</v>
      </c>
    </row>
    <row r="195" ht="20" customHeight="1">
      <c r="A195" s="26" t="inlineStr">
        <is>
          <t>【P2】 TRS收益互换  (Total Return Swap)</t>
        </is>
      </c>
    </row>
    <row r="196" ht="28" customHeight="1">
      <c r="A196" s="11" t="inlineStr">
        <is>
          <t>TRS收益互换</t>
        </is>
      </c>
      <c r="B196" s="10" t="inlineStr">
        <is>
          <t>P2</t>
        </is>
      </c>
      <c r="C196" s="10" t="inlineStr">
        <is>
          <t>F13-01</t>
        </is>
      </c>
      <c r="D196" s="27" t="inlineStr">
        <is>
          <t>报价与成交管理</t>
        </is>
      </c>
      <c r="E196" s="11" t="inlineStr">
        <is>
          <t>一站式报价（市场各渠道 + 内部自营），成交回报处理，请求报价（RFQ），历史确认查询</t>
        </is>
      </c>
      <c r="F196" s="11" t="inlineStr">
        <is>
          <t>功能完整/边界测试/集成冒烟/性能基线</t>
        </is>
      </c>
      <c r="G196" s="23" t="inlineStr">
        <is>
          <t>高</t>
        </is>
      </c>
      <c r="H196" s="13" t="n">
        <v>30</v>
      </c>
    </row>
    <row r="197" ht="28" customHeight="1">
      <c r="A197" s="11" t="inlineStr">
        <is>
          <t>TRS收益互换</t>
        </is>
      </c>
      <c r="B197" s="10" t="inlineStr">
        <is>
          <t>P2</t>
        </is>
      </c>
      <c r="C197" s="10" t="inlineStr">
        <is>
          <t>F13-02</t>
        </is>
      </c>
      <c r="D197" s="27" t="inlineStr">
        <is>
          <t>自动对冲</t>
        </is>
      </c>
      <c r="E197" s="11" t="inlineStr">
        <is>
          <t>对冲委托自动触发，对冲回报处理，风险校验，组合重叠分析，开平仓设置，对冲策略配置</t>
        </is>
      </c>
      <c r="F197" s="11" t="inlineStr">
        <is>
          <t>功能完整/边界测试/集成冒烟/性能基线</t>
        </is>
      </c>
      <c r="G197" s="23" t="inlineStr">
        <is>
          <t>高</t>
        </is>
      </c>
      <c r="H197" s="13" t="n">
        <v>30</v>
      </c>
    </row>
    <row r="198" ht="28" customHeight="1">
      <c r="A198" s="11" t="inlineStr">
        <is>
          <t>TRS收益互换</t>
        </is>
      </c>
      <c r="B198" s="10" t="inlineStr">
        <is>
          <t>P2</t>
        </is>
      </c>
      <c r="C198" s="10" t="inlineStr">
        <is>
          <t>F13-03</t>
        </is>
      </c>
      <c r="D198" s="27" t="inlineStr">
        <is>
          <t>行情与资讯</t>
        </is>
      </c>
      <c r="E198" s="11" t="inlineStr">
        <is>
          <t>实时行情矩阵展示，债券行情，我的关注，历史行情，资讯推送</t>
        </is>
      </c>
      <c r="F198" s="11" t="inlineStr">
        <is>
          <t>功能测试通过/正确率100%</t>
        </is>
      </c>
      <c r="G198" s="24" t="inlineStr">
        <is>
          <t>中</t>
        </is>
      </c>
      <c r="H198" s="13" t="n">
        <v>15</v>
      </c>
    </row>
    <row r="199" ht="28" customHeight="1">
      <c r="A199" s="11" t="inlineStr">
        <is>
          <t>TRS收益互换</t>
        </is>
      </c>
      <c r="B199" s="10" t="inlineStr">
        <is>
          <t>P2</t>
        </is>
      </c>
      <c r="C199" s="10" t="inlineStr">
        <is>
          <t>F13-04</t>
        </is>
      </c>
      <c r="D199" s="27" t="inlineStr">
        <is>
          <t>开户与账户管理</t>
        </is>
      </c>
      <c r="E199" s="11" t="inlineStr">
        <is>
          <t>客户开户申请，账户信息管理，出入金申请，银行账号绑定，资金管理</t>
        </is>
      </c>
      <c r="F199" s="11" t="inlineStr">
        <is>
          <t>功能测试通过/正确率100%</t>
        </is>
      </c>
      <c r="G199" s="24" t="inlineStr">
        <is>
          <t>中</t>
        </is>
      </c>
      <c r="H199" s="13" t="n">
        <v>20</v>
      </c>
    </row>
    <row r="200" ht="28" customHeight="1">
      <c r="A200" s="11" t="inlineStr">
        <is>
          <t>TRS收益互换</t>
        </is>
      </c>
      <c r="B200" s="10" t="inlineStr">
        <is>
          <t>P2</t>
        </is>
      </c>
      <c r="C200" s="10" t="inlineStr">
        <is>
          <t>F13-05</t>
        </is>
      </c>
      <c r="D200" s="27" t="inlineStr">
        <is>
          <t>客户自主交易</t>
        </is>
      </c>
      <c r="E200" s="11" t="inlineStr">
        <is>
          <t>客户委托下单，合约持仓查询，标的持仓查询，当日委托，行情矩阵，历史确认，开平仓设置</t>
        </is>
      </c>
      <c r="F200" s="11" t="inlineStr">
        <is>
          <t>功能完整/边界测试/集成冒烟/性能基线</t>
        </is>
      </c>
      <c r="G200" s="23" t="inlineStr">
        <is>
          <t>高</t>
        </is>
      </c>
      <c r="H200" s="13" t="n">
        <v>25</v>
      </c>
    </row>
    <row r="201" ht="28" customHeight="1">
      <c r="A201" s="11" t="inlineStr">
        <is>
          <t>TRS收益互换</t>
        </is>
      </c>
      <c r="B201" s="10" t="inlineStr">
        <is>
          <t>P2</t>
        </is>
      </c>
      <c r="C201" s="10" t="inlineStr">
        <is>
          <t>F13-06</t>
        </is>
      </c>
      <c r="D201" s="27" t="inlineStr">
        <is>
          <t>审批管理</t>
        </is>
      </c>
      <c r="E201" s="11" t="inlineStr">
        <is>
          <t>开户申请审批，出入金审批，合约成交审核，多级审批工作流，审批留痕</t>
        </is>
      </c>
      <c r="F201" s="11" t="inlineStr">
        <is>
          <t>功能测试通过/正确率100%</t>
        </is>
      </c>
      <c r="G201" s="24" t="inlineStr">
        <is>
          <t>中</t>
        </is>
      </c>
      <c r="H201" s="13" t="n">
        <v>20</v>
      </c>
    </row>
    <row r="202" ht="28" customHeight="1">
      <c r="A202" s="11" t="inlineStr">
        <is>
          <t>TRS收益互换</t>
        </is>
      </c>
      <c r="B202" s="10" t="inlineStr">
        <is>
          <t>P2</t>
        </is>
      </c>
      <c r="C202" s="10" t="inlineStr">
        <is>
          <t>F13-07</t>
        </is>
      </c>
      <c r="D202" s="27" t="inlineStr">
        <is>
          <t>运营管理</t>
        </is>
      </c>
      <c r="E202" s="11" t="inlineStr">
        <is>
          <t>对账，库存管理，对冲录入，合约生命周期管理，日终结算处理</t>
        </is>
      </c>
      <c r="F202" s="11" t="inlineStr">
        <is>
          <t>功能完整/边界测试/集成冒烟/性能基线</t>
        </is>
      </c>
      <c r="G202" s="23" t="inlineStr">
        <is>
          <t>高</t>
        </is>
      </c>
      <c r="H202" s="13" t="n">
        <v>25</v>
      </c>
    </row>
    <row r="203" ht="28" customHeight="1">
      <c r="A203" s="11" t="inlineStr">
        <is>
          <t>TRS收益互换</t>
        </is>
      </c>
      <c r="B203" s="10" t="inlineStr">
        <is>
          <t>P2</t>
        </is>
      </c>
      <c r="C203" s="10" t="inlineStr">
        <is>
          <t>F13-08</t>
        </is>
      </c>
      <c r="D203" s="27" t="inlineStr">
        <is>
          <t>通知与文件生成</t>
        </is>
      </c>
      <c r="E203" s="11" t="inlineStr">
        <is>
          <t>企微通知提醒，确认书/结算单/估值报告/出入金通知自动生成并通过邮箱发送</t>
        </is>
      </c>
      <c r="F203" s="11" t="inlineStr">
        <is>
          <t>功能测试通过/正确率100%</t>
        </is>
      </c>
      <c r="G203" s="24" t="inlineStr">
        <is>
          <t>中</t>
        </is>
      </c>
      <c r="H203" s="13" t="n">
        <v>15</v>
      </c>
    </row>
    <row r="204" ht="28" customHeight="1">
      <c r="A204" s="11" t="inlineStr">
        <is>
          <t>TRS收益互换</t>
        </is>
      </c>
      <c r="B204" s="10" t="inlineStr">
        <is>
          <t>P2</t>
        </is>
      </c>
      <c r="C204" s="10" t="inlineStr">
        <is>
          <t>F13-09</t>
        </is>
      </c>
      <c r="D204" s="27" t="inlineStr">
        <is>
          <t>外部系统集成</t>
        </is>
      </c>
      <c r="E204" s="11" t="inlineStr">
        <is>
          <t>衡泰系统客户信息同步，QTrade聊天记录同步，银行流水对接，公司邮箱系统集成</t>
        </is>
      </c>
      <c r="F204" s="11" t="inlineStr">
        <is>
          <t>功能完整/边界测试/集成冒烟/性能基线</t>
        </is>
      </c>
      <c r="G204" s="23" t="inlineStr">
        <is>
          <t>高</t>
        </is>
      </c>
      <c r="H204" s="13" t="n">
        <v>25</v>
      </c>
    </row>
    <row r="205" ht="28" customHeight="1">
      <c r="A205" s="11" t="inlineStr">
        <is>
          <t>TRS收益互换</t>
        </is>
      </c>
      <c r="B205" s="10" t="inlineStr">
        <is>
          <t>P2</t>
        </is>
      </c>
      <c r="C205" s="10" t="inlineStr">
        <is>
          <t>F13-10</t>
        </is>
      </c>
      <c r="D205" s="27" t="inlineStr">
        <is>
          <t>内部系统集成</t>
        </is>
      </c>
      <c r="E205" s="11" t="inlineStr">
        <is>
          <t>现券交易系统（对冲交易执行），IBOR（持仓记录），定价平台（估值报告），事前风控（合规校验）</t>
        </is>
      </c>
      <c r="F205" s="11" t="inlineStr">
        <is>
          <t>功能完整/边界测试/集成冒烟/性能基线</t>
        </is>
      </c>
      <c r="G205" s="23" t="inlineStr">
        <is>
          <t>高</t>
        </is>
      </c>
      <c r="H205" s="13" t="n">
        <v>20</v>
      </c>
    </row>
    <row r="206" ht="20" customHeight="1">
      <c r="A206" s="29" t="inlineStr">
        <is>
          <t>【P3】 做市商系统  (Market Making)</t>
        </is>
      </c>
    </row>
    <row r="207" ht="28" customHeight="1">
      <c r="A207" s="16" t="inlineStr">
        <is>
          <t>做市商系统</t>
        </is>
      </c>
      <c r="B207" s="15" t="inlineStr">
        <is>
          <t>P3</t>
        </is>
      </c>
      <c r="C207" s="15" t="inlineStr">
        <is>
          <t>F15-01</t>
        </is>
      </c>
      <c r="D207" s="30" t="inlineStr">
        <is>
          <t>双边报价做市</t>
        </is>
      </c>
      <c r="E207" s="16" t="inlineStr">
        <is>
          <t>多品种同时双边报价，延迟&lt;5ms，报价宽度动态优化，支持国债/信用债/利率互换多品种做市</t>
        </is>
      </c>
      <c r="F207" s="16" t="inlineStr">
        <is>
          <t>p99延迟/误差率/精度验证/压测10k TPS</t>
        </is>
      </c>
      <c r="G207" s="28" t="inlineStr">
        <is>
          <t>极高</t>
        </is>
      </c>
      <c r="H207" s="18" t="n">
        <v>70</v>
      </c>
    </row>
    <row r="208" ht="28" customHeight="1">
      <c r="A208" s="16" t="inlineStr">
        <is>
          <t>做市商系统</t>
        </is>
      </c>
      <c r="B208" s="15" t="inlineStr">
        <is>
          <t>P3</t>
        </is>
      </c>
      <c r="C208" s="15" t="inlineStr">
        <is>
          <t>F15-02</t>
        </is>
      </c>
      <c r="D208" s="30" t="inlineStr">
        <is>
          <t>TRS做市服务</t>
        </is>
      </c>
      <c r="E208" s="16" t="inlineStr">
        <is>
          <t>TRS产品双边报价，与TRS收益互换系统深度集成，对冲报价敞口，支持客户TRS交易</t>
        </is>
      </c>
      <c r="F208" s="16" t="inlineStr">
        <is>
          <t>p99延迟/误差率/精度验证/压测10k TPS</t>
        </is>
      </c>
      <c r="G208" s="28" t="inlineStr">
        <is>
          <t>极高</t>
        </is>
      </c>
      <c r="H208" s="18" t="n">
        <v>40</v>
      </c>
    </row>
    <row r="209" ht="28" customHeight="1">
      <c r="A209" s="16" t="inlineStr">
        <is>
          <t>做市商系统</t>
        </is>
      </c>
      <c r="B209" s="15" t="inlineStr">
        <is>
          <t>P3</t>
        </is>
      </c>
      <c r="C209" s="15" t="inlineStr">
        <is>
          <t>F15-03</t>
        </is>
      </c>
      <c r="D209" s="30" t="inlineStr">
        <is>
          <t>RFQ询价响应</t>
        </is>
      </c>
      <c r="E209" s="16" t="inlineStr">
        <is>
          <t>接收客户询价请求，自动生成报价，报价有效期管理，成交确认，询价历史记录</t>
        </is>
      </c>
      <c r="F209" s="16" t="inlineStr">
        <is>
          <t>功能完整/边界测试/集成冒烟/性能基线</t>
        </is>
      </c>
      <c r="G209" s="23" t="inlineStr">
        <is>
          <t>高</t>
        </is>
      </c>
      <c r="H209" s="18" t="n">
        <v>25</v>
      </c>
    </row>
    <row r="210" ht="28" customHeight="1">
      <c r="A210" s="16" t="inlineStr">
        <is>
          <t>做市商系统</t>
        </is>
      </c>
      <c r="B210" s="15" t="inlineStr">
        <is>
          <t>P3</t>
        </is>
      </c>
      <c r="C210" s="15" t="inlineStr">
        <is>
          <t>F15-04</t>
        </is>
      </c>
      <c r="D210" s="30" t="inlineStr">
        <is>
          <t>API程序化做市</t>
        </is>
      </c>
      <c r="E210" s="16" t="inlineStr">
        <is>
          <t>对外提供做市API接口，支持程序化交易对手接入，流式报价推送，API鉴权与频率限制</t>
        </is>
      </c>
      <c r="F210" s="16" t="inlineStr">
        <is>
          <t>功能完整/边界测试/集成冒烟/性能基线</t>
        </is>
      </c>
      <c r="G210" s="23" t="inlineStr">
        <is>
          <t>高</t>
        </is>
      </c>
      <c r="H210" s="18" t="n">
        <v>25</v>
      </c>
    </row>
    <row r="211" ht="28" customHeight="1">
      <c r="A211" s="16" t="inlineStr">
        <is>
          <t>做市商系统</t>
        </is>
      </c>
      <c r="B211" s="15" t="inlineStr">
        <is>
          <t>P3</t>
        </is>
      </c>
      <c r="C211" s="15" t="inlineStr">
        <is>
          <t>F15-05</t>
        </is>
      </c>
      <c r="D211" s="30" t="inlineStr">
        <is>
          <t>报价策略配置</t>
        </is>
      </c>
      <c r="E211" s="16" t="inlineStr">
        <is>
          <t>各品种做市参数配置（报价宽度/报价量/报价频率），分时段策略，按交易对手差异化报价</t>
        </is>
      </c>
      <c r="F211" s="16" t="inlineStr">
        <is>
          <t>功能测试通过/正确率100%</t>
        </is>
      </c>
      <c r="G211" s="24" t="inlineStr">
        <is>
          <t>中</t>
        </is>
      </c>
      <c r="H211" s="18" t="n">
        <v>20</v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F15-06</t>
        </is>
      </c>
      <c r="D212" s="30" t="inlineStr">
        <is>
          <t>报价优化算法</t>
        </is>
      </c>
      <c r="E212" s="16" t="inlineStr">
        <is>
          <t>基于市场微结构理论动态调整bid-ask spread，流动性自适应调节，机器学习辅助报价优化</t>
        </is>
      </c>
      <c r="F212" s="16" t="inlineStr">
        <is>
          <t>p99延迟/误差率/精度验证/压测10k TPS</t>
        </is>
      </c>
      <c r="G212" s="28" t="inlineStr">
        <is>
          <t>极高</t>
        </is>
      </c>
      <c r="H212" s="18" t="n">
        <v>50</v>
      </c>
    </row>
    <row r="213" ht="28" customHeight="1">
      <c r="A213" s="16" t="inlineStr">
        <is>
          <t>做市商系统</t>
        </is>
      </c>
      <c r="B213" s="15" t="inlineStr">
        <is>
          <t>P3</t>
        </is>
      </c>
      <c r="C213" s="15" t="inlineStr">
        <is>
          <t>F15-07</t>
        </is>
      </c>
      <c r="D213" s="30" t="inlineStr">
        <is>
          <t>债券过滤与筛选</t>
        </is>
      </c>
      <c r="E213" s="16" t="inlineStr">
        <is>
          <t>做市标的券池管理，流动性分级筛选，黑名单管理，临时暂停做市规则</t>
        </is>
      </c>
      <c r="F213" s="16" t="inlineStr">
        <is>
          <t>功能测试通过</t>
        </is>
      </c>
      <c r="G213" s="25" t="inlineStr">
        <is>
          <t>低</t>
        </is>
      </c>
      <c r="H213" s="18" t="n">
        <v>10</v>
      </c>
    </row>
    <row r="214" ht="28" customHeight="1">
      <c r="A214" s="16" t="inlineStr">
        <is>
          <t>做市商系统</t>
        </is>
      </c>
      <c r="B214" s="15" t="inlineStr">
        <is>
          <t>P3</t>
        </is>
      </c>
      <c r="C214" s="15" t="inlineStr">
        <is>
          <t>F15-08</t>
        </is>
      </c>
      <c r="D214" s="30" t="inlineStr">
        <is>
          <t>做市义务实时监控</t>
        </is>
      </c>
      <c r="E214" s="16" t="inlineStr">
        <is>
          <t>实时监控做市义务完成情况（报价连续性/报价宽度/报价量达标），义务违规预警，监管报告生成</t>
        </is>
      </c>
      <c r="F214" s="16" t="inlineStr">
        <is>
          <t>功能完整/边界测试/集成冒烟/性能基线</t>
        </is>
      </c>
      <c r="G214" s="23" t="inlineStr">
        <is>
          <t>高</t>
        </is>
      </c>
      <c r="H214" s="18" t="n">
        <v>30</v>
      </c>
    </row>
    <row r="215" ht="28" customHeight="1">
      <c r="A215" s="16" t="inlineStr">
        <is>
          <t>做市商系统</t>
        </is>
      </c>
      <c r="B215" s="15" t="inlineStr">
        <is>
          <t>P3</t>
        </is>
      </c>
      <c r="C215" s="15" t="inlineStr">
        <is>
          <t>F15-09</t>
        </is>
      </c>
      <c r="D215" s="30" t="inlineStr">
        <is>
          <t>做市行情展示</t>
        </is>
      </c>
      <c r="E215" s="16" t="inlineStr">
        <is>
          <t>做市报价行情矩阵，实时价格展示，报价历史回放，市场最优报价对比，中签率统计</t>
        </is>
      </c>
      <c r="F215" s="16" t="inlineStr">
        <is>
          <t>功能测试通过/正确率100%</t>
        </is>
      </c>
      <c r="G215" s="24" t="inlineStr">
        <is>
          <t>中</t>
        </is>
      </c>
      <c r="H215" s="18" t="n">
        <v>20</v>
      </c>
    </row>
    <row r="216" ht="28" customHeight="1">
      <c r="A216" s="16" t="inlineStr">
        <is>
          <t>做市商系统</t>
        </is>
      </c>
      <c r="B216" s="15" t="inlineStr">
        <is>
          <t>P3</t>
        </is>
      </c>
      <c r="C216" s="15" t="inlineStr">
        <is>
          <t>F15-10</t>
        </is>
      </c>
      <c r="D216" s="30" t="inlineStr">
        <is>
          <t>做市订单管理</t>
        </is>
      </c>
      <c r="E216" s="16" t="inlineStr">
        <is>
          <t>做市委托生成、撤改、成交回报处理，订单状态实时跟踪，批量撤单，做市台账</t>
        </is>
      </c>
      <c r="F216" s="16" t="inlineStr">
        <is>
          <t>功能完整/边界测试/集成冒烟/性能基线</t>
        </is>
      </c>
      <c r="G216" s="23" t="inlineStr">
        <is>
          <t>高</t>
        </is>
      </c>
      <c r="H216" s="18" t="n">
        <v>30</v>
      </c>
    </row>
    <row r="217" ht="28" customHeight="1">
      <c r="A217" s="16" t="inlineStr">
        <is>
          <t>做市商系统</t>
        </is>
      </c>
      <c r="B217" s="15" t="inlineStr">
        <is>
          <t>P3</t>
        </is>
      </c>
      <c r="C217" s="15" t="inlineStr">
        <is>
          <t>F15-11</t>
        </is>
      </c>
      <c r="D217" s="30" t="inlineStr">
        <is>
          <t>库存风险实时管理</t>
        </is>
      </c>
      <c r="E217" s="16" t="inlineStr">
        <is>
          <t>做市库存PnL实时监控，Delta对冲自动触发，库存敞口上限控制，实时盯市损益</t>
        </is>
      </c>
      <c r="F217" s="16" t="inlineStr">
        <is>
          <t>p99延迟/误差率/精度验证/压测10k TPS</t>
        </is>
      </c>
      <c r="G217" s="28" t="inlineStr">
        <is>
          <t>极高</t>
        </is>
      </c>
      <c r="H217" s="18" t="n">
        <v>60</v>
      </c>
    </row>
    <row r="218" ht="28" customHeight="1">
      <c r="A218" s="16" t="inlineStr">
        <is>
          <t>做市商系统</t>
        </is>
      </c>
      <c r="B218" s="15" t="inlineStr">
        <is>
          <t>P3</t>
        </is>
      </c>
      <c r="C218" s="15" t="inlineStr">
        <is>
          <t>F15-12</t>
        </is>
      </c>
      <c r="D218" s="30" t="inlineStr">
        <is>
          <t>竞争力分析</t>
        </is>
      </c>
      <c r="E218" s="16" t="inlineStr">
        <is>
          <t>与市场最优报价对比，中签率分析，报价表现统计，策略调优建议，竞争对手报价分析</t>
        </is>
      </c>
      <c r="F218" s="16" t="inlineStr">
        <is>
          <t>功能完整/边界测试/集成冒烟/性能基线</t>
        </is>
      </c>
      <c r="G218" s="23" t="inlineStr">
        <is>
          <t>高</t>
        </is>
      </c>
      <c r="H218" s="18" t="n">
        <v>25</v>
      </c>
    </row>
    <row r="219">
      <c r="A219" s="19" t="inlineStr">
        <is>
          <t>总计功能数 / Total Function Points</t>
        </is>
      </c>
      <c r="H219" s="20">
        <f>SUM(H3:H218)</f>
        <v/>
      </c>
    </row>
  </sheetData>
  <mergeCells count="16">
    <mergeCell ref="A206:H206"/>
    <mergeCell ref="A3:H3"/>
    <mergeCell ref="A219:G219"/>
    <mergeCell ref="A86:H86"/>
    <mergeCell ref="A147:H147"/>
    <mergeCell ref="A134:H134"/>
    <mergeCell ref="A186:H186"/>
    <mergeCell ref="A165:H165"/>
    <mergeCell ref="A99:H99"/>
    <mergeCell ref="A195:H195"/>
    <mergeCell ref="A60:H60"/>
    <mergeCell ref="A68:H68"/>
    <mergeCell ref="A1:H1"/>
    <mergeCell ref="A173:H173"/>
    <mergeCell ref="A111:H111"/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13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15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15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战略定位：整个FICC平台的账薄主干，27项功能（新增F01-29数据质量监控）覆盖持仓/现金/估值/事件/对账/监管报送/试算/抵押品/数据质量全链路；核心创新：ML-based reconciliation (F01-14)，DQ-first foundation (F01-29)，CA-aware sandbox (F01-25)；合规检查规则与执行由M06负责，情景P&amp;L分析由M04+M07负责，IBOR为SSoT数据源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竞品：衡泰(ABOR)  |  华锐基础：AMI/AMDB账户体系  |  工期：13月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权益/债券/期货/回购/利率衍生品全品种T0实时持仓，含未交割与待交割敞口分层展示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30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30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60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40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50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50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50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30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E24" s="5" t="inlineStr">
        <is>
          <t>日终对账完成时间&lt;6:00AM，差异识别率&gt;98%，break自动解决率&gt;80%（ML匹配），exception routing &lt;30s，manager review trigger by T+2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75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60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30</v>
      </c>
      <c r="I26" s="6" t="inlineStr">
        <is>
          <t>P1</t>
        </is>
      </c>
      <c r="J26" s="5" t="inlineStr"/>
    </row>
    <row r="27" ht="18" customHeight="1">
      <c r="A27" s="44" t="inlineStr">
        <is>
          <t>F. 监管数据输出</t>
        </is>
      </c>
    </row>
    <row r="28" ht="48" customHeight="1">
      <c r="A28" s="5" t="inlineStr">
        <is>
          <t>F. 监管数据输出</t>
        </is>
      </c>
      <c r="B28" s="3" t="inlineStr">
        <is>
          <t>F01-18</t>
        </is>
      </c>
      <c r="C28" s="4" t="inlineStr">
        <is>
          <t>监管报送数据支持（数据提取，非合规逻辑）</t>
        </is>
      </c>
      <c r="D28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E28" s="5" t="inlineStr">
        <is>
          <t>报送数据与IBOR源数据一致性100%，定时推送准时率&gt;99.9%</t>
        </is>
      </c>
      <c r="F28" s="5" t="inlineStr">
        <is>
          <t>IBOR全域数据/报表引擎</t>
        </is>
      </c>
      <c r="G28" s="42" t="inlineStr">
        <is>
          <t>中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22" t="inlineStr">
        <is>
          <t>G. 数据接入与集成</t>
        </is>
      </c>
    </row>
    <row r="30" ht="48" customHeight="1">
      <c r="A30" s="5" t="inlineStr">
        <is>
          <t>G. 数据接入与集成</t>
        </is>
      </c>
      <c r="B30" s="3" t="inlineStr">
        <is>
          <t>F01-19</t>
        </is>
      </c>
      <c r="C30" s="4" t="inlineStr">
        <is>
          <t>行情数据接入</t>
        </is>
      </c>
      <c r="D30" s="5" t="inlineStr">
        <is>
          <t>接入AMD/Bloomberg/Wind实时行情（中债估值/利率曲线/信用利差/波动率曲面），标准化清洗后推送至IBOR定价层</t>
        </is>
      </c>
      <c r="E30" s="5" t="inlineStr">
        <is>
          <t>行情延迟&lt;1s，数据完整性&gt;99.9%，异常行情自动过滤告警</t>
        </is>
      </c>
      <c r="F30" s="5" t="inlineStr">
        <is>
          <t>AMD行情平台/Bloomberg API/Wind数据接口</t>
        </is>
      </c>
      <c r="G30" s="41" t="inlineStr">
        <is>
          <t>高</t>
        </is>
      </c>
      <c r="H30" s="8" t="n">
        <v>30</v>
      </c>
      <c r="I30" s="6" t="inlineStr">
        <is>
          <t>P1</t>
        </is>
      </c>
      <c r="J30" s="5" t="inlineStr"/>
    </row>
    <row r="31" ht="48" customHeight="1">
      <c r="A31" s="5" t="inlineStr">
        <is>
          <t>G. 数据接入与集成</t>
        </is>
      </c>
      <c r="B31" s="3" t="inlineStr">
        <is>
          <t>F01-20</t>
        </is>
      </c>
      <c r="C31" s="4" t="inlineStr">
        <is>
          <t>交易数据接入</t>
        </is>
      </c>
      <c r="D31" s="5" t="inlineStr">
        <is>
          <t>从OMS/交易终端实时获取成交回报（债券/回购/衍生品），含完整交易状态机（报盘/成交/撤单/部分成交）追踪</t>
        </is>
      </c>
      <c r="E31" s="5" t="inlineStr">
        <is>
          <t>成交回报接收延迟&lt;200ms，数据完整性100%，状态机覆盖全交易生命周期</t>
        </is>
      </c>
      <c r="F31" s="5" t="inlineStr">
        <is>
          <t>ATP报盘引擎/CFETS银行间接口/交易所接口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F01-21</t>
        </is>
      </c>
      <c r="C32" s="4" t="inlineStr">
        <is>
          <t>持仓数据获取</t>
        </is>
      </c>
      <c r="D32" s="5" t="inlineStr">
        <is>
          <t>期初从托管行/清算系统获取存量持仓，日间成交驱动增量更新，支持多来源持仓比对与主数据确认</t>
        </is>
      </c>
      <c r="E32" s="5" t="inlineStr">
        <is>
          <t>期初持仓加载完成&lt;7:00AM，日间增量延迟&lt;500ms，多源持仓一致性核验通过率&gt;99%</t>
        </is>
      </c>
      <c r="F32" s="5" t="inlineStr">
        <is>
          <t>中登/中债登/托管行SFTP接口/清算结算系统</t>
        </is>
      </c>
      <c r="G32" s="42" t="inlineStr">
        <is>
          <t>中</t>
        </is>
      </c>
      <c r="H32" s="8" t="n">
        <v>30</v>
      </c>
      <c r="I32" s="6" t="inlineStr">
        <is>
          <t>P1</t>
        </is>
      </c>
      <c r="J32" s="5" t="inlineStr"/>
    </row>
    <row r="33" ht="18" customHeight="1">
      <c r="A33" s="40" t="inlineStr">
        <is>
          <t>H. What-if 投资试算</t>
        </is>
      </c>
    </row>
    <row r="34" ht="48" customHeight="1">
      <c r="A34" s="5" t="inlineStr">
        <is>
          <t>H. What-if 投资试算</t>
        </is>
      </c>
      <c r="B34" s="3" t="inlineStr">
        <is>
          <t>F01-22</t>
        </is>
      </c>
      <c r="C34" s="4" t="inlineStr">
        <is>
          <t>多时态头寸视图（IBOR数据基础设施，供上层消费）</t>
        </is>
      </c>
      <c r="D34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E34" s="5" t="inlineStr">
        <is>
          <t>历史快照查询任意日期延迟&lt;3s，前瞻视图覆盖30日，API并发支持≥20消费方</t>
        </is>
      </c>
      <c r="F34" s="5" t="inlineStr">
        <is>
          <t>IBOR事件存储引擎/F01-06现金流预测</t>
        </is>
      </c>
      <c r="G34" s="41" t="inlineStr">
        <is>
          <t>高</t>
        </is>
      </c>
      <c r="H34" s="8" t="n">
        <v>30</v>
      </c>
      <c r="I34" s="6" t="inlineStr">
        <is>
          <t>P1</t>
        </is>
      </c>
      <c r="J34" s="5" t="inlineStr"/>
    </row>
    <row r="35" ht="48" customHeight="1">
      <c r="A35" s="5" t="inlineStr">
        <is>
          <t>H. What-if 投资试算</t>
        </is>
      </c>
      <c r="B35" s="3" t="inlineStr">
        <is>
          <t>F01-23</t>
        </is>
      </c>
      <c r="C35" s="4" t="inlineStr">
        <is>
          <t>会计分类估值配置与稽核</t>
        </is>
      </c>
      <c r="D35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E35" s="5" t="inlineStr">
        <is>
          <t>估值方法配置覆盖全品种，稽核规则命中率&gt;99%，OCI再分类触发边界零漏检</t>
        </is>
      </c>
      <c r="F35" s="5" t="inlineStr">
        <is>
          <t>资产主数据（会计分类标签）/AMD估值数据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F01-24</t>
        </is>
      </c>
      <c r="C36" s="4" t="inlineStr">
        <is>
          <t>手工补录与审批工作流</t>
        </is>
      </c>
      <c r="D36" s="5" t="inlineStr">
        <is>
          <t>对上游系统缺失或错误数据支持手工增删改操作，修改后自动触发双级审批工作流，全操作记录审计日志，支持待办集中处理与历史审批检索</t>
        </is>
      </c>
      <c r="E36" s="5" t="inlineStr">
        <is>
          <t>审批流配置覆盖100%手工操作类型，操作日志不可篡改，审批完成后数据生效&lt;1min</t>
        </is>
      </c>
      <c r="F36" s="5" t="inlineStr">
        <is>
          <t>权限管理系统/IBOR数据核心层</t>
        </is>
      </c>
      <c r="G36" s="42" t="inlineStr">
        <is>
          <t>中</t>
        </is>
      </c>
      <c r="H36" s="8" t="n">
        <v>20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F01-25</t>
        </is>
      </c>
      <c r="C37" s="4" t="inlineStr">
        <is>
          <t>What-if持仓沙箱（供M07 Shadow Portfolio调用）</t>
        </is>
      </c>
      <c r="D37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E37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F37" s="5" t="inlineStr">
        <is>
          <t>IBOR实时持仓/M09估值引擎/M06事前风控（沙箱指令同样需合规校验）/M01 F01-29 DQ监控(作为数据质量前置条件)/M04 F04-22(消费sandbox数据做pre-trade impact)/M07 F07-22(消费sandbox结果做P&amp;L分析)</t>
        </is>
      </c>
      <c r="G37" s="41" t="inlineStr">
        <is>
          <t>高</t>
        </is>
      </c>
      <c r="H37" s="8" t="n">
        <v>35</v>
      </c>
      <c r="I37" s="6" t="inlineStr">
        <is>
          <t>P1</t>
        </is>
      </c>
      <c r="J37" s="5" t="inlineStr"/>
    </row>
    <row r="38" ht="18" customHeight="1">
      <c r="A38" s="43" t="inlineStr">
        <is>
          <t>I. 抵押品管理</t>
        </is>
      </c>
    </row>
    <row r="39" ht="48" customHeight="1">
      <c r="A39" s="5" t="inlineStr">
        <is>
          <t>I. 抵押品管理</t>
        </is>
      </c>
      <c r="B39" s="3" t="inlineStr">
        <is>
          <t>F01-28</t>
        </is>
      </c>
      <c r="C39" s="4" t="inlineStr">
        <is>
          <t>抵押品管理（Collateral Management）</t>
        </is>
      </c>
      <c r="D3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E39" s="5" t="inlineStr">
        <is>
          <t>Haircut配置覆盖全品种，Margin Call计算与对手方差异&lt;0.5%，抵押品状态与F01-04同步延迟&lt;30s，三方托管接口联通率100%</t>
        </is>
      </c>
      <c r="F39" s="5" t="inlineStr">
        <is>
          <t>IBOR持仓（F01-01/F01-04）/定价平台M09（抵押品MtM）/交易对手管理/中债登三方托管接口</t>
        </is>
      </c>
      <c r="G39" s="41" t="inlineStr">
        <is>
          <t>高</t>
        </is>
      </c>
      <c r="H39" s="8" t="n">
        <v>40</v>
      </c>
      <c r="I39" s="6" t="inlineStr">
        <is>
          <t>P1</t>
        </is>
      </c>
      <c r="J39" s="5" t="inlineStr"/>
    </row>
    <row r="40" ht="18" customHeight="1">
      <c r="A40" s="43" t="inlineStr">
        <is>
          <t>J. 数据质量监控与运维</t>
        </is>
      </c>
    </row>
    <row r="41" ht="48" customHeight="1">
      <c r="A41" s="5" t="inlineStr">
        <is>
          <t>J. 数据质量监控与运维</t>
        </is>
      </c>
      <c r="B41" s="3" t="inlineStr">
        <is>
          <t>F01-29</t>
        </is>
      </c>
      <c r="C41" s="4" t="inlineStr">
        <is>
          <t>数据质量监控与SLA治理</t>
        </is>
      </c>
      <c r="D41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E41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F41" s="5" t="inlineStr">
        <is>
          <t>所有inbound interfaces（OMS/ATP报盘, AMD行情, 中登/中债登/上清托管, 资金系统划拨）/F01-14 reconciliation/M04 risk platform/内部metrics infrastructure</t>
        </is>
      </c>
      <c r="G41" s="42" t="inlineStr">
        <is>
          <t>中</t>
        </is>
      </c>
      <c r="H41" s="8" t="n">
        <v>25</v>
      </c>
      <c r="I41" s="6" t="inlineStr">
        <is>
          <t>P1</t>
        </is>
      </c>
      <c r="J41" s="5" t="inlineStr"/>
    </row>
    <row r="42">
      <c r="A42" s="40" t="inlineStr">
        <is>
          <t>合计 27项功能  |  P1: 24项  |  P2: 3项</t>
        </is>
      </c>
      <c r="H42" s="20">
        <f>SUM(H5:H41)</f>
        <v/>
      </c>
      <c r="I42" s="34" t="inlineStr"/>
      <c r="J42" s="34" t="inlineStr"/>
    </row>
  </sheetData>
  <mergeCells count="14">
    <mergeCell ref="A1:J1"/>
    <mergeCell ref="A5:J5"/>
    <mergeCell ref="A23:J23"/>
    <mergeCell ref="A40:J40"/>
    <mergeCell ref="A27:J27"/>
    <mergeCell ref="A3:J3"/>
    <mergeCell ref="A15:J15"/>
    <mergeCell ref="A29:J29"/>
    <mergeCell ref="A33:J33"/>
    <mergeCell ref="A38:J38"/>
    <mergeCell ref="A2:J2"/>
    <mergeCell ref="A42:G4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战略定位：替代衡泰老旧系统，信创切入口；本模块职责为风险计算与治理（VaR引擎/限额执行/CVA-PD-LGD/模型治理/监管报送）；Greeks/DV01/CS01/KRD由M09 F09-10统一计算（M04 F04-08/F04-09为消费聚合方），曲线/曲面由M09 F09-04/F09-05独占；P&amp;L归因由M07 F07-07/F07-22负责（M04不重复Campisi）；流动性LVaR/TCA由M07 F07-14/F07-20负责；新增F04-22(Phase 2 pre-trade)、F04-23(模型治理与回测SSoT)；对应PPT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工期：15月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F04-03</t>
        </is>
      </c>
      <c r="C6" s="4" t="inlineStr">
        <is>
          <t>投资预测分析</t>
        </is>
      </c>
      <c r="D6" s="5" t="inlineStr">
        <is>
          <t>P&amp;L与风险归因预测建模，收益率曲线/利差/波动率因子预测，组合构建优化，多情景对比分析</t>
        </is>
      </c>
      <c r="E6" s="5" t="inlineStr"/>
      <c r="F6" s="5" t="inlineStr"/>
      <c r="G6" s="28" t="inlineStr">
        <is>
          <t>极高</t>
        </is>
      </c>
      <c r="H6" s="8" t="n">
        <v>35</v>
      </c>
      <c r="I6" s="6" t="inlineStr">
        <is>
          <t>P1</t>
        </is>
      </c>
      <c r="J6" s="5" t="inlineStr"/>
    </row>
    <row r="7" ht="18" customHeight="1">
      <c r="A7" s="40" t="inlineStr">
        <is>
          <t>D2. 投中实时监控</t>
        </is>
      </c>
    </row>
    <row r="8" ht="48" customHeight="1">
      <c r="A8" s="5" t="inlineStr">
        <is>
          <t>D2. 投中实时监控</t>
        </is>
      </c>
      <c r="B8" s="3" t="inlineStr">
        <is>
          <t>F04-04</t>
        </is>
      </c>
      <c r="C8" s="4" t="inlineStr">
        <is>
          <t>实时风险计量</t>
        </is>
      </c>
      <c r="D8" s="5" t="inlineStr">
        <is>
          <t>实时风险指标计算引擎：Live VaR（消费M09 Greeks/DV01），实时风险敞口聚合，实时风险事件流推送至下游消费方；P&amp;L归因由M07 F07-22负责，限额利用率展示由F04-21负责，本模块只产出风险量化指标</t>
        </is>
      </c>
      <c r="E8" s="5" t="inlineStr">
        <is>
          <t>风险指标更新延迟&lt;1s，VaR计算调用M09 Greeks &lt;500ms，事件推送Kafka &lt;200ms</t>
        </is>
      </c>
      <c r="F8" s="5" t="inlineStr">
        <is>
          <t>M09 F09-10（Greeks SSoT）/F04-10（VaR模型）/IBOR持仓</t>
        </is>
      </c>
      <c r="G8" s="28" t="inlineStr">
        <is>
          <t>极高</t>
        </is>
      </c>
      <c r="H8" s="8" t="n">
        <v>40</v>
      </c>
      <c r="I8" s="6" t="inlineStr">
        <is>
          <t>P1</t>
        </is>
      </c>
      <c r="J8" s="5" t="inlineStr"/>
    </row>
    <row r="9" ht="48" customHeight="1">
      <c r="A9" s="5" t="inlineStr">
        <is>
          <t>D2. 投中实时监控</t>
        </is>
      </c>
      <c r="B9" s="3" t="inlineStr">
        <is>
          <t>F04-05</t>
        </is>
      </c>
      <c r="C9" s="4" t="inlineStr">
        <is>
          <t>交易对手风险实时监控</t>
        </is>
      </c>
      <c r="D9" s="5" t="inlineStr">
        <is>
          <t>实时敞口聚合，抵押品监控，信用限额使用率，结算风险，净额结算协议管理</t>
        </is>
      </c>
      <c r="E9" s="5" t="inlineStr"/>
      <c r="F9" s="5" t="inlineStr"/>
      <c r="G9" s="41" t="inlineStr">
        <is>
          <t>高</t>
        </is>
      </c>
      <c r="H9" s="8" t="n">
        <v>30</v>
      </c>
      <c r="I9" s="6" t="inlineStr">
        <is>
          <t>P1</t>
        </is>
      </c>
      <c r="J9" s="5" t="inlineStr"/>
    </row>
    <row r="10" ht="48" customHeight="1">
      <c r="A10" s="5" t="inlineStr">
        <is>
          <t>D2. 投中实时监控</t>
        </is>
      </c>
      <c r="B10" s="3" t="inlineStr">
        <is>
          <t>F04-07</t>
        </is>
      </c>
      <c r="C10" s="4" t="inlineStr">
        <is>
          <t>实时风险全景图</t>
        </is>
      </c>
      <c r="D10" s="5" t="inlineStr">
        <is>
          <t>风险驾驶舱仪表板：聚合展示F04-04风险指标 + F04-21限额状态 + F04-05对手方风险 + F04-19 AI预警；告警管理与异常跟踪；本模块只做展示编排，不重复计算或维护限额数据</t>
        </is>
      </c>
      <c r="E10" s="5" t="inlineStr">
        <is>
          <t>全景图刷新&lt;3s，告警延迟&lt;5s，所有数据来自上游F04-04/F04-05/F04-19/F04-21</t>
        </is>
      </c>
      <c r="F10" s="5" t="inlineStr">
        <is>
          <t>F04-04（风险指标）/F04-05（对手方风险）/F04-19（AI预警）/F04-21（限额状态）</t>
        </is>
      </c>
      <c r="G10" s="41" t="inlineStr">
        <is>
          <t>高</t>
        </is>
      </c>
      <c r="H10" s="8" t="n">
        <v>25</v>
      </c>
      <c r="I10" s="6" t="inlineStr">
        <is>
          <t>P1</t>
        </is>
      </c>
      <c r="J10" s="5" t="inlineStr"/>
    </row>
    <row r="11" ht="18" customHeight="1">
      <c r="A11" s="43" t="inlineStr">
        <is>
          <t>D3. 风控引擎</t>
        </is>
      </c>
    </row>
    <row r="12" ht="48" customHeight="1">
      <c r="A12" s="5" t="inlineStr">
        <is>
          <t>D3. 风控引擎</t>
        </is>
      </c>
      <c r="B12" s="3" t="inlineStr">
        <is>
          <t>F04-08</t>
        </is>
      </c>
      <c r="C12" s="4" t="inlineStr">
        <is>
          <t>DV01/CS01风险聚合（消费M09 F09-10）</t>
        </is>
      </c>
      <c r="D12" s="5" t="inlineStr">
        <is>
          <t>【消费方】消费M09 F09-10的逐券DV01/CS01计算结果，本模块负责风险视角聚合：组合层面汇总（按资产类别/行业/评级/久期分桶），限额比对（vs F04-21），监管报送格式化（Basel III/FRTB），平行与非平行冲击情景；本模块不重复计算单券敏感度</t>
        </is>
      </c>
      <c r="E12" s="5" t="inlineStr">
        <is>
          <t>组合DV01聚合与M09单券结果误差&lt;0.1bps，分桶聚合&lt;2s，限额比对实时刷新</t>
        </is>
      </c>
      <c r="F12" s="5" t="inlineStr">
        <is>
          <t>M09 F09-10（逐券DV01/CS01计算唯一权威）/IBOR持仓/M04 F04-21限额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D3. 风控引擎</t>
        </is>
      </c>
      <c r="B13" s="3" t="inlineStr">
        <is>
          <t>F04-09</t>
        </is>
      </c>
      <c r="C13" s="4" t="inlineStr">
        <is>
          <t>Greeks风险聚合与解释（消费M09 F09-10）</t>
        </is>
      </c>
      <c r="D13" s="5" t="inlineStr">
        <is>
          <t>【消费方】消费M09 F09-10的逐券Delta/Gamma/Vega/Theta/Rho，本模块负责风险解释聚合：组合Greeks汇总、衍生品Greeks限额监控、Greeks敞口风险分析、Greeks-driven VaR输入；本模块不重复计算Greeks，纯消费方</t>
        </is>
      </c>
      <c r="E13" s="5" t="inlineStr">
        <is>
          <t>组合Greeks聚合&lt;2s，限额比对实时，与M09单券结果一致性100%</t>
        </is>
      </c>
      <c r="F13" s="5" t="inlineStr">
        <is>
          <t>M09 F09-10（逐券Greeks计算唯一权威）/IBOR持仓/M04 F04-21限额</t>
        </is>
      </c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风控引擎</t>
        </is>
      </c>
      <c r="B14" s="3" t="inlineStr">
        <is>
          <t>F04-10</t>
        </is>
      </c>
      <c r="C14" s="4" t="inlineStr">
        <is>
          <t>VaR模型计算引擎</t>
        </is>
      </c>
      <c r="D14" s="5" t="inlineStr">
        <is>
          <t>VaR三方法计算引擎：参数法/历史模拟法/蒙特卡洛，Expected Shortfall；每日VaR计算与持久化（供F04-13查询/F04-23回测）；P&amp;L vs VaR异常初次检测（实时事件推送至F04-23）；本模块只负责VaR数值计算与异常事件输出，回测框架/Kupiec POF/模型治理/监管报送由F04-23独立模型治理模块负责</t>
        </is>
      </c>
      <c r="E14" s="5" t="inlineStr">
        <is>
          <t>VaR计算延迟&lt;5s（10万券组合MC），三方法一致性验证（差异&lt;3%），异常事件推送F04-23 &lt;1min</t>
        </is>
      </c>
      <c r="F14" s="5" t="inlineStr">
        <is>
          <t>M09 F09-10（Greeks/敏感度SSoT）/M09 F09-04曲线/IBOR持仓/F04-23模型治理框架</t>
        </is>
      </c>
      <c r="G14" s="28" t="inlineStr">
        <is>
          <t>极高</t>
        </is>
      </c>
      <c r="H14" s="8" t="n">
        <v>50</v>
      </c>
      <c r="I14" s="6" t="inlineStr">
        <is>
          <t>P1</t>
        </is>
      </c>
      <c r="J14" s="5" t="inlineStr"/>
    </row>
    <row r="15" ht="48" customHeight="1">
      <c r="A15" s="5" t="inlineStr">
        <is>
          <t>D3. 风控引擎</t>
        </is>
      </c>
      <c r="B15" s="3" t="inlineStr">
        <is>
          <t>F04-11</t>
        </is>
      </c>
      <c r="C15" s="4" t="inlineStr">
        <is>
          <t>压力测试与情景分析</t>
        </is>
      </c>
      <c r="D15" s="5" t="inlineStr">
        <is>
          <t>内置历史情景（GFC/COVID-19/利率冲击），假设情景（曲线扭转/利差走阔），反向压力测试</t>
        </is>
      </c>
      <c r="E15" s="5" t="inlineStr"/>
      <c r="F15" s="5" t="inlineStr"/>
      <c r="G15" s="41" t="inlineStr">
        <is>
          <t>高</t>
        </is>
      </c>
      <c r="H15" s="8" t="n">
        <v>35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F04-20</t>
        </is>
      </c>
      <c r="C16" s="4" t="inlineStr">
        <is>
          <t>信用风险计量（CVA/PD/LGD）</t>
        </is>
      </c>
      <c r="D16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E16" s="5" t="inlineStr">
        <is>
          <t>CVA计算与对手方差异&lt;1%，IFRS 9 ECL覆盖全债券持仓，PD/LGD数据源可追溯，动态PD曲线更新&lt;30s，信用限额仪表盘实时刷新</t>
        </is>
      </c>
      <c r="F16" s="5" t="inlineStr">
        <is>
          <t>定价平台M09（衍生品估值/EPE模拟，含M09 F09-16 XVA引擎）/IBOR持仓/外部信用评级数据（Wind/Bloomberg/CDS市场数据）</t>
        </is>
      </c>
      <c r="G16" s="28" t="inlineStr">
        <is>
          <t>极高</t>
        </is>
      </c>
      <c r="H16" s="8" t="n">
        <v>45</v>
      </c>
      <c r="I16" s="6" t="inlineStr">
        <is>
          <t>P1</t>
        </is>
      </c>
      <c r="J16" s="5" t="inlineStr"/>
    </row>
    <row r="17" ht="18" customHeight="1">
      <c r="A17" s="43" t="inlineStr">
        <is>
          <t>D4. 投后风险分析</t>
        </is>
      </c>
    </row>
    <row r="18" ht="48" customHeight="1">
      <c r="A18" s="5" t="inlineStr">
        <is>
          <t>D4. 投后风险分析</t>
        </is>
      </c>
      <c r="B18" s="3" t="inlineStr">
        <is>
          <t>F04-13</t>
        </is>
      </c>
      <c r="C18" s="4" t="inlineStr">
        <is>
          <t>历史风险数据查询与趋势分析</t>
        </is>
      </c>
      <c r="D18" s="5" t="inlineStr">
        <is>
          <t>历史风险指标查询API（VaR/DV01/CS01历史快照），风险趋势分析（按日/周/月聚合），限额例外历史统计，压力测试历史结果归档；VaR回测与模型验证由F04-23模型治理框架负责，本模块只做历史数据查询与可视化</t>
        </is>
      </c>
      <c r="E18" s="5" t="inlineStr">
        <is>
          <t>历史查询API延迟&lt;3s，覆盖最近5年，趋势分析支持任意时间窗口</t>
        </is>
      </c>
      <c r="F18" s="5" t="inlineStr">
        <is>
          <t>ClickHouse历史风险数据库/F04-04实时风险计量/F04-23模型治理</t>
        </is>
      </c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48" customHeight="1">
      <c r="A19" s="5" t="inlineStr">
        <is>
          <t>D4. 投后风险分析</t>
        </is>
      </c>
      <c r="B19" s="3" t="inlineStr">
        <is>
          <t>F04-15</t>
        </is>
      </c>
      <c r="C19" s="4" t="inlineStr">
        <is>
          <t>监管报表与风控日报</t>
        </is>
      </c>
      <c r="D19" s="5" t="inlineStr">
        <is>
          <t>日/周/月风险报告自动生成，监管资本计算，Basel III/FRTB报送，压力测试摘要，风险归因仪表板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48" customHeight="1">
      <c r="A20" s="5" t="inlineStr">
        <is>
          <t>D4. 投后风险分析</t>
        </is>
      </c>
      <c r="B20" s="3" t="inlineStr">
        <is>
          <t>F04-21</t>
        </is>
      </c>
      <c r="C20" s="4" t="inlineStr">
        <is>
          <t>限额治理工作流</t>
        </is>
      </c>
      <c r="D20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E20" s="5" t="inlineStr">
        <is>
          <t>超限告警延迟&lt;1min，限额利用率仪表盘实时刷新，限额变更全程留痕，监管核查导出&lt;5min</t>
        </is>
      </c>
      <c r="F20" s="5" t="inlineStr">
        <is>
          <t>M06合规规则（SSoT，限额参数引用M06 F06-02）/IBOR持仓/M04 F04-04实时风险计量</t>
        </is>
      </c>
      <c r="G20" s="42" t="inlineStr">
        <is>
          <t>中</t>
        </is>
      </c>
      <c r="H20" s="8" t="n">
        <v>20</v>
      </c>
      <c r="I20" s="6" t="inlineStr">
        <is>
          <t>P1</t>
        </is>
      </c>
      <c r="J20" s="5" t="inlineStr"/>
    </row>
    <row r="21" ht="48" customHeight="1">
      <c r="A21" s="5" t="inlineStr">
        <is>
          <t>D4. 投后风险分析</t>
        </is>
      </c>
      <c r="B21" s="3" t="inlineStr">
        <is>
          <t>F04-22</t>
        </is>
      </c>
      <c r="C21" s="4" t="inlineStr">
        <is>
          <t>交易前风险影响分析</t>
        </is>
      </c>
      <c r="D21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F04-21 limits），estimated FVA if derivative；集成M06 F06-04 pre-trade validation：combine risk impact + compliance impact in unified PM dashboard；feed to M01 F01-25 what-if sandbox for full portfolio stress scenarios；M07 F07-22 consumption for intraday decision support</t>
        </is>
      </c>
      <c r="E21" s="5" t="inlineStr">
        <is>
          <t>Impact calc &lt;500ms (p99)，accuracy ±2% vs actual execution，limit breach detection 100%，UI adoption by 80% of traders within 3 months</t>
        </is>
      </c>
      <c r="F21" s="5" t="inlineStr">
        <is>
          <t>M04 F04-04 (实时风险计量), M04 F04-10 (VaR model), M06 F06-04 (pre-trade compliance validation), M01 F01-25 (what-if sandbox), M07 F07-22 (intraday P&amp;L)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F04-23</t>
        </is>
      </c>
      <c r="C22" s="4" t="inlineStr">
        <is>
          <t>模型治理与回测框架</t>
        </is>
      </c>
      <c r="D22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E22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F22" s="5" t="inlineStr">
        <is>
          <t>F04-10 (VaR model), F04-20 (credit risk CVA model), F04-08/09 (Greeks/DV01 calculations), all upstream risk calculation functions, independent data validation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18" customHeight="1">
      <c r="A23" s="29" t="inlineStr">
        <is>
          <t>D5. 风控基础设施</t>
        </is>
      </c>
    </row>
    <row r="24" ht="48" customHeight="1">
      <c r="A24" s="5" t="inlineStr">
        <is>
          <t>D5. 风控基础设施</t>
        </is>
      </c>
      <c r="B24" s="3" t="inlineStr">
        <is>
          <t>F04-16</t>
        </is>
      </c>
      <c r="C24" s="4" t="inlineStr">
        <is>
          <t>数据底座与IBOR集成</t>
        </is>
      </c>
      <c r="D24" s="5" t="inlineStr">
        <is>
          <t>实时持仓追踪（事件溯源架构），全公司持仓聚合，实时数据验证与自动清洗，审计追踪</t>
        </is>
      </c>
      <c r="E24" s="5" t="inlineStr"/>
      <c r="F24" s="5" t="inlineStr"/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D5. 风控基础设施</t>
        </is>
      </c>
      <c r="B25" s="3" t="inlineStr">
        <is>
          <t>F04-18</t>
        </is>
      </c>
      <c r="C25" s="4" t="inlineStr">
        <is>
          <t>HPC计算网格</t>
        </is>
      </c>
      <c r="D25" s="5" t="inlineStr">
        <is>
          <t>分布式计算引擎，并行蒙特卡洛，压力测试网格调度，弹性扩容，p99计算延迟&lt;5s</t>
        </is>
      </c>
      <c r="E25" s="5" t="inlineStr"/>
      <c r="F25" s="5" t="inlineStr"/>
      <c r="G25" s="28" t="inlineStr">
        <is>
          <t>极高</t>
        </is>
      </c>
      <c r="H25" s="8" t="n">
        <v>40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F04-19</t>
        </is>
      </c>
      <c r="C26" s="4" t="inlineStr">
        <is>
          <t>AI风险预警</t>
        </is>
      </c>
      <c r="D26" s="5" t="inlineStr">
        <is>
          <t>异常检测（ML模型），预测性分析，模式识别，智能告警，新业务合规风险预分析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>
      <c r="A27" s="40" t="inlineStr">
        <is>
          <t>合计 17项功能  |  P1: 17项  |  P2: 0项</t>
        </is>
      </c>
      <c r="H27" s="20">
        <f>SUM(H5:H26)</f>
        <v/>
      </c>
      <c r="I27" s="34" t="inlineStr"/>
      <c r="J27" s="34" t="inlineStr"/>
    </row>
  </sheetData>
  <mergeCells count="9">
    <mergeCell ref="A1:J1"/>
    <mergeCell ref="A5:J5"/>
    <mergeCell ref="A23:J23"/>
    <mergeCell ref="A27:G27"/>
    <mergeCell ref="A17:J17"/>
    <mergeCell ref="A3:J3"/>
    <mergeCell ref="A7:J7"/>
    <mergeCell ref="A2:J2"/>
    <mergeCell ref="A11:J11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统计、监控与审计（管理端）</t>
        </is>
      </c>
    </row>
    <row r="15" ht="48" customHeight="1">
      <c r="A15" s="5" t="inlineStr">
        <is>
          <t>D3. 统计、监控与审计（管理端）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统计、监控与审计（管理端）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统计、监控与审计（管理端）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统计、监控与审计（管理端）</t>
        </is>
      </c>
      <c r="B18" s="3" t="inlineStr">
        <is>
          <t>F06-11</t>
        </is>
      </c>
      <c r="C18" s="4" t="inlineStr">
        <is>
          <t>持仓合规状态持续监控（原M01 F01-17迁移）</t>
        </is>
      </c>
      <c r="D18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E18" s="5" t="inlineStr">
        <is>
          <t>持仓合规状态刷新延迟&lt;30s，零漏报，误报率&lt;0.1%，状态写回IBOR&lt;5s</t>
        </is>
      </c>
      <c r="F18" s="5" t="inlineStr">
        <is>
          <t>IBOR实时持仓（Kafka订阅）/F06-02限额规则/M09定价平台（实时估值，用于集中度计算）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>
      <c r="A19" s="40" t="inlineStr">
        <is>
          <t>合计 11项功能  |  P1: 11项  |  P2: 0项</t>
        </is>
      </c>
      <c r="H19" s="20">
        <f>SUM(H5:H18)</f>
        <v/>
      </c>
      <c r="I19" s="34" t="inlineStr"/>
      <c r="J19" s="34" t="inlineStr"/>
    </row>
  </sheetData>
  <mergeCells count="7">
    <mergeCell ref="A1:J1"/>
    <mergeCell ref="A5:J5"/>
    <mergeCell ref="A14:J14"/>
    <mergeCell ref="A9:J9"/>
    <mergeCell ref="A3:J3"/>
    <mergeCell ref="A2:J2"/>
    <mergeCell ref="A19:G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战略定位：全资产组合管理工作台，十五大核心能力：全资产持仓模型/QP优化/Shadow Portfolio/Campisi 2.0固收归因/Brinson归因/多周期因子风险分解+MCTR(F07-10增强)/Component VaR/敏感度/情景压测/流动性/Carry预算分析/TCA反馈循环(F07-20增强)/实时盘中P&amp;L拆解(新增F07-22)/绩效报告生成；Phase 2强化：多周期因子归因、TCA反馈驱动、盘中实时P&amp;L；对应PPT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工期：15月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Portfolio虚拟试算（调用M01持仓沙箱）</t>
        </is>
      </c>
      <c r="D11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E11" s="5" t="inlineStr">
        <is>
          <t>虚拟组合模拟与真实执行偏差&lt;0.3%，秒级响应，100+并行无数据污染</t>
        </is>
      </c>
      <c r="F11" s="5" t="inlineStr">
        <is>
          <t>M01 F01-25（What-if持仓沙箱）/M09定价平台/M08因子暴露API/现券交易系统</t>
        </is>
      </c>
      <c r="G11" s="41" t="inlineStr">
        <is>
          <t>高</t>
        </is>
      </c>
      <c r="H11" s="8" t="n">
        <v>60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60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50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30</v>
      </c>
      <c r="I16" s="6" t="inlineStr">
        <is>
          <t>P1</t>
        </is>
      </c>
      <c r="J16" s="5" t="inlineStr"/>
    </row>
    <row r="17" ht="48" customHeight="1">
      <c r="A17" s="5" t="inlineStr">
        <is>
          <t>C. 绩效归因</t>
        </is>
      </c>
      <c r="B17" s="3" t="inlineStr">
        <is>
          <t>F07-19</t>
        </is>
      </c>
      <c r="C17" s="4" t="inlineStr">
        <is>
          <t>净利差与Carry预算分析</t>
        </is>
      </c>
      <c r="D17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E17" s="5" t="inlineStr">
        <is>
          <t>逐券Carry计算与实际票息收入误差&lt;1bps，Carry预算仪表盘T+1 9:00前自动刷新</t>
        </is>
      </c>
      <c r="F17" s="5" t="inlineStr">
        <is>
          <t>IBOR持仓/AMD行情（回购利率/票面利率）/定价平台（估值价格）</t>
        </is>
      </c>
      <c r="G17" s="42" t="inlineStr">
        <is>
          <t>中</t>
        </is>
      </c>
      <c r="H17" s="8" t="n">
        <v>25</v>
      </c>
      <c r="I17" s="6" t="inlineStr">
        <is>
          <t>P1</t>
        </is>
      </c>
      <c r="J17" s="5" t="inlineStr"/>
    </row>
    <row r="18" ht="48" customHeight="1">
      <c r="A18" s="11" t="inlineStr">
        <is>
          <t>C. 绩效归因</t>
        </is>
      </c>
      <c r="B18" s="10" t="inlineStr">
        <is>
          <t>F07-20</t>
        </is>
      </c>
      <c r="C18" s="27" t="inlineStr">
        <is>
          <t>交易成本分析TCA</t>
        </is>
      </c>
      <c r="D18" s="11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-22盘中P&amp;L仪表盘</t>
        </is>
      </c>
      <c r="E18" s="11" t="inlineStr">
        <is>
          <t>TCA报告T+1生成，经纪商排名覆盖≥90%成交量，实施成本差计算与外部TCA服务误差&lt;1bps，每日TCA反馈驱动&lt;100bps超额成本自动预警</t>
        </is>
      </c>
      <c r="F18" s="11" t="inlineStr">
        <is>
          <t>IBOR交易记录/AMD实时行情（决策时间戳价格）/现券交易系统成交回报/F07-22盘中P&amp;L</t>
        </is>
      </c>
      <c r="G18" s="42" t="inlineStr">
        <is>
          <t>中</t>
        </is>
      </c>
      <c r="H18" s="13" t="n">
        <v>25</v>
      </c>
      <c r="I18" s="12" t="inlineStr">
        <is>
          <t>P2</t>
        </is>
      </c>
      <c r="J18" s="11" t="inlineStr"/>
    </row>
    <row r="19" ht="48" customHeight="1">
      <c r="A19" s="5" t="inlineStr">
        <is>
          <t>C. 绩效归因</t>
        </is>
      </c>
      <c r="B19" s="3" t="inlineStr">
        <is>
          <t>F07-21</t>
        </is>
      </c>
      <c r="C19" s="4" t="inlineStr">
        <is>
          <t>绩效报告生成</t>
        </is>
      </c>
      <c r="D19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E19" s="5" t="inlineStr">
        <is>
          <t>TWR/MWR与Bloomberg AIM误差&lt;0.1%，月度报告T+1 9:00前自动生成，支持≥12期累计归因</t>
        </is>
      </c>
      <c r="F19" s="5" t="inlineStr">
        <is>
          <t>M07归因引擎（F07-07/F07-08）/IBOR持仓/AMD指数基准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风险计量</t>
        </is>
      </c>
    </row>
    <row r="21" ht="48" customHeight="1">
      <c r="A21" s="5" t="inlineStr">
        <is>
          <t>D. 风险计量</t>
        </is>
      </c>
      <c r="B21" s="3" t="inlineStr">
        <is>
          <t>F07-10</t>
        </is>
      </c>
      <c r="C21" s="4" t="inlineStr">
        <is>
          <t>因子风险分解 + MCTR边际风险贡献（消费M08因子暴露）</t>
        </is>
      </c>
      <c r="D21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E21" s="5" t="inlineStr">
        <is>
          <t>因子模型解释方差&gt;80%（由M08保证），MCTR实时更新延迟&lt;5s，多周期因子归因对账&lt;1bps，日度初步结果&lt;2h，风险预算仪表盘刷新延迟&lt;5s</t>
        </is>
      </c>
      <c r="F21" s="5" t="inlineStr">
        <is>
          <t>M08因子暴露API（协方差矩阵）/IBOR持仓/定价平台</t>
        </is>
      </c>
      <c r="G21" s="41" t="inlineStr">
        <is>
          <t>高</t>
        </is>
      </c>
      <c r="H21" s="8" t="n">
        <v>80</v>
      </c>
      <c r="I21" s="6" t="inlineStr">
        <is>
          <t>P1</t>
        </is>
      </c>
      <c r="J21" s="5" t="inlineStr"/>
    </row>
    <row r="22" ht="48" customHeight="1">
      <c r="A22" s="5" t="inlineStr">
        <is>
          <t>D. 风险计量</t>
        </is>
      </c>
      <c r="B22" s="3" t="inlineStr">
        <is>
          <t>F07-11</t>
        </is>
      </c>
      <c r="C22" s="4" t="inlineStr">
        <is>
          <t>Component VaR 四层穿透展示（调用M04引擎）</t>
        </is>
      </c>
      <c r="D22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E22" s="5" t="inlineStr">
        <is>
          <t>穿透至发行人层展示&lt;3s，三方法差异预警由M04提供，本模块直接透传</t>
        </is>
      </c>
      <c r="F22" s="5" t="inlineStr">
        <is>
          <t>FICC风险计量平台(M04 F04-10)/IBOR</t>
        </is>
      </c>
      <c r="G22" s="42" t="inlineStr">
        <is>
          <t>中</t>
        </is>
      </c>
      <c r="H22" s="8" t="n">
        <v>40</v>
      </c>
      <c r="I22" s="6" t="inlineStr">
        <is>
          <t>P1</t>
        </is>
      </c>
      <c r="J22" s="5" t="inlineStr"/>
    </row>
    <row r="23" ht="48" customHeight="1">
      <c r="A23" s="5" t="inlineStr">
        <is>
          <t>D. 风险计量</t>
        </is>
      </c>
      <c r="B23" s="3" t="inlineStr">
        <is>
          <t>F07-12</t>
        </is>
      </c>
      <c r="C23" s="4" t="inlineStr">
        <is>
          <t>敏感度展示（多维Shock Grid，消费M09定价引擎）</t>
        </is>
      </c>
      <c r="D23" s="5" t="inlineStr">
        <is>
          <t>PM决策展示层——M09(F09-10)是Greeks/DV01/CS01/KRD唯一计算权威，本模块直接消费M09逐券敏感度结果，负责：组合层面聚合（按资产类别/行业/评级汇总），构建利率×信用利差二维冲击矩阵（Shock Grid 5×5），识别最脆弱组合方向，输出对冲比率建议；本模块与M04 F04-08/F04-09同为消费方，分别服务PM决策与风险监管</t>
        </is>
      </c>
      <c r="E23" s="5" t="inlineStr">
        <is>
          <t>Shock Grid 5×5矩阵实时刷新，组合DV01聚合与M09单券结果误差&lt;0.1bps</t>
        </is>
      </c>
      <c r="F23" s="5" t="inlineStr">
        <is>
          <t>定价平台(M09 F09-10 Greeks/DV01/CS01/KRD唯一权威)/IBOR</t>
        </is>
      </c>
      <c r="G23" s="42" t="inlineStr">
        <is>
          <t>中</t>
        </is>
      </c>
      <c r="H23" s="8" t="n">
        <v>40</v>
      </c>
      <c r="I23" s="6" t="inlineStr">
        <is>
          <t>P1</t>
        </is>
      </c>
      <c r="J23" s="5" t="inlineStr"/>
    </row>
    <row r="24" ht="48" customHeight="1">
      <c r="A24" s="5" t="inlineStr">
        <is>
          <t>D. 风险计量</t>
        </is>
      </c>
      <c r="B24" s="3" t="inlineStr">
        <is>
          <t>F07-13</t>
        </is>
      </c>
      <c r="C24" s="4" t="inlineStr">
        <is>
          <t>情景分析PM决策层（调用M04场景库）</t>
        </is>
      </c>
      <c r="D24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E24" s="5" t="inlineStr">
        <is>
          <t>调用M04 API获取场景P&amp;L&lt;2s，PM决策输出（对冲建议）&lt;5s，≥20情景并行</t>
        </is>
      </c>
      <c r="F24" s="5" t="inlineStr">
        <is>
          <t>FICC风险计量平台(M04 F04-11 场景API)/定价平台</t>
        </is>
      </c>
      <c r="G24" s="42" t="inlineStr">
        <is>
          <t>中</t>
        </is>
      </c>
      <c r="H24" s="8" t="n">
        <v>60</v>
      </c>
      <c r="I24" s="6" t="inlineStr">
        <is>
          <t>P1</t>
        </is>
      </c>
      <c r="J24" s="5" t="inlineStr"/>
    </row>
    <row r="25" ht="18" customHeight="1">
      <c r="A25" s="29" t="inlineStr">
        <is>
          <t>E. 流动性与对冲管理</t>
        </is>
      </c>
    </row>
    <row r="26" ht="48" customHeight="1">
      <c r="A26" s="5" t="inlineStr">
        <is>
          <t>E. 流动性与对冲管理</t>
        </is>
      </c>
      <c r="B26" s="3" t="inlineStr">
        <is>
          <t>F07-14</t>
        </is>
      </c>
      <c r="C26" s="4" t="inlineStr">
        <is>
          <t>流动性风险管理（LVaR）</t>
        </is>
      </c>
      <c r="D26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6" s="5" t="inlineStr">
        <is>
          <t>LVaR与市场基准误差&lt;5%，日均成交量覆盖≥95%持仓，变现路径建议&lt;3s</t>
        </is>
      </c>
      <c r="F26" s="5" t="inlineStr">
        <is>
          <t>AMD行情/IBOR持仓</t>
        </is>
      </c>
      <c r="G26" s="42" t="inlineStr">
        <is>
          <t>中</t>
        </is>
      </c>
      <c r="H26" s="8" t="n">
        <v>50</v>
      </c>
      <c r="I26" s="6" t="inlineStr">
        <is>
          <t>P1</t>
        </is>
      </c>
      <c r="J26" s="5" t="inlineStr"/>
    </row>
    <row r="27" ht="48" customHeight="1">
      <c r="A27" s="11" t="inlineStr">
        <is>
          <t>E. 流动性与对冲管理</t>
        </is>
      </c>
      <c r="B27" s="10" t="inlineStr">
        <is>
          <t>F07-15</t>
        </is>
      </c>
      <c r="C27" s="27" t="inlineStr">
        <is>
          <t>衍生品对冲决策引擎</t>
        </is>
      </c>
      <c r="D27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7" s="11" t="inlineStr">
        <is>
          <t>对冲方案推荐&lt;5s，DV01对冲误差&lt;5%，指令自动流转执行引擎</t>
        </is>
      </c>
      <c r="F27" s="11" t="inlineStr">
        <is>
          <t>衍生品交易系统/IBOR/定价平台/事前风控</t>
        </is>
      </c>
      <c r="G27" s="41" t="inlineStr">
        <is>
          <t>高</t>
        </is>
      </c>
      <c r="H27" s="13" t="n">
        <v>40</v>
      </c>
      <c r="I27" s="12" t="inlineStr">
        <is>
          <t>P2</t>
        </is>
      </c>
      <c r="J27" s="11" t="inlineStr"/>
    </row>
    <row r="28" ht="48" customHeight="1">
      <c r="A28" s="5" t="inlineStr">
        <is>
          <t>E. 流动性与对冲管理</t>
        </is>
      </c>
      <c r="B28" s="3" t="inlineStr">
        <is>
          <t>F07-22</t>
        </is>
      </c>
      <c r="C28" s="4" t="inlineStr">
        <is>
          <t>实时盘中P&amp;L拆解与TCA集成</t>
        </is>
      </c>
      <c r="D28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δrate等)、执行成本(滑点/摩擦成本/费用)；集成F07-20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E28" s="5" t="inlineStr">
        <is>
          <t>P&amp;L刷新&lt;30s（100+持仓），Greeks分解精度±5bps，执行成本反馈&lt;1h，trader采纳率70% within 3 months</t>
        </is>
      </c>
      <c r="F28" s="5" t="inlineStr">
        <is>
          <t>M04 F04-04 (实时风险计量/Greeks), M07 F07-20 (TCA反馈), IBOR实时持仓/AMD实时行情/现券交易系统成交回报</t>
        </is>
      </c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44" t="inlineStr">
        <is>
          <t>F. 量化底座集成</t>
        </is>
      </c>
    </row>
    <row r="30" ht="48" customHeight="1">
      <c r="A30" s="11" t="inlineStr">
        <is>
          <t>F. 量化底座集成</t>
        </is>
      </c>
      <c r="B30" s="10" t="inlineStr">
        <is>
          <t>F07-16</t>
        </is>
      </c>
      <c r="C30" s="27" t="inlineStr">
        <is>
          <t>定价计算集成</t>
        </is>
      </c>
      <c r="D30" s="11" t="inlineStr">
        <is>
          <t>调用定价平台实时估值与Greeks（含权债/可转债/IRS），Redis缓存结果，Kafka推送持仓+估值变化事件，日终全量估值批处理</t>
        </is>
      </c>
      <c r="E30" s="11" t="inlineStr">
        <is>
          <t>定价API p99&lt;200ms，日终全量估值&lt;30min（10万券）</t>
        </is>
      </c>
      <c r="F30" s="11" t="inlineStr">
        <is>
          <t>定价平台</t>
        </is>
      </c>
      <c r="G30" s="41" t="inlineStr">
        <is>
          <t>高</t>
        </is>
      </c>
      <c r="H30" s="13" t="n">
        <v>30</v>
      </c>
      <c r="I30" s="12" t="inlineStr">
        <is>
          <t>P2</t>
        </is>
      </c>
      <c r="J30" s="11" t="inlineStr"/>
    </row>
    <row r="31" ht="48" customHeight="1">
      <c r="A31" s="5" t="inlineStr">
        <is>
          <t>F. 量化底座集成</t>
        </is>
      </c>
      <c r="B31" s="3" t="inlineStr">
        <is>
          <t>F07-17</t>
        </is>
      </c>
      <c r="C31" s="4" t="inlineStr">
        <is>
          <t>利率曲线集成</t>
        </is>
      </c>
      <c r="D31" s="5" t="inlineStr">
        <is>
          <t>多曲线实时消费（国债/政策行/AAA信用/OIS），NS参数提取（水平/斜率/曲率），关键期限点敏感度映射，曲线版本快照（供归因历史复现）</t>
        </is>
      </c>
      <c r="E31" s="5" t="inlineStr">
        <is>
          <t>曲线更新延迟&lt;1s，NS拟合R²&gt;0.999</t>
        </is>
      </c>
      <c r="F31" s="5" t="inlineStr">
        <is>
          <t>AMD行情平台/定价平台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F. 量化底座集成</t>
        </is>
      </c>
      <c r="B32" s="3" t="inlineStr">
        <is>
          <t>F07-18</t>
        </is>
      </c>
      <c r="C32" s="4" t="inlineStr">
        <is>
          <t>因子暴露集成（消费M08，不建模）</t>
        </is>
      </c>
      <c r="D32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E32" s="5" t="inlineStr">
        <is>
          <t>组合因子暴露聚合延迟&lt;10s，因子模型解释方差&gt;80%（由M08保证），风险预算仪表盘实时刷新</t>
        </is>
      </c>
      <c r="F32" s="5" t="inlineStr">
        <is>
          <t>M08因子暴露API（逐券载荷+协方差矩阵）/M09定价平台（逐券DV01·CS01·KRD）/IBOR持仓</t>
        </is>
      </c>
      <c r="G32" s="42" t="inlineStr">
        <is>
          <t>中</t>
        </is>
      </c>
      <c r="H32" s="8" t="n">
        <v>25</v>
      </c>
      <c r="I32" s="6" t="inlineStr">
        <is>
          <t>P1</t>
        </is>
      </c>
      <c r="J32" s="5" t="inlineStr"/>
    </row>
    <row r="33">
      <c r="A33" s="40" t="inlineStr">
        <is>
          <t>合计 22项功能  |  P1: 18项  |  P2: 4项</t>
        </is>
      </c>
      <c r="H33" s="20">
        <f>SUM(H5:H32)</f>
        <v/>
      </c>
      <c r="I33" s="34" t="inlineStr"/>
      <c r="J33" s="34" t="inlineStr"/>
    </row>
  </sheetData>
  <mergeCells count="10">
    <mergeCell ref="A1:J1"/>
    <mergeCell ref="A5:J5"/>
    <mergeCell ref="A9:J9"/>
    <mergeCell ref="A3:J3"/>
    <mergeCell ref="A29:J29"/>
    <mergeCell ref="A20:J20"/>
    <mergeCell ref="A2:J2"/>
    <mergeCell ref="A33:G33"/>
    <mergeCell ref="A25:J25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因子模型建设与管理（全公司SSoT）</t>
        </is>
      </c>
      <c r="D8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E8" s="5" t="inlineStr"/>
      <c r="F8" s="5" t="inlineStr"/>
      <c r="G8" s="41" t="inlineStr">
        <is>
          <t>高</t>
        </is>
      </c>
      <c r="H8" s="8" t="n">
        <v>50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量化数据底座</t>
        </is>
      </c>
      <c r="D21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工期：20月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利率与信用曲线构建（全公司统一曲线服务）</t>
        </is>
      </c>
      <c r="D10" s="11" t="inlineStr">
        <is>
          <t>利率曲线（多插值方法）、信用利差曲线、利差曲线、违底线、全品种统一曲线服务（为M04风险计量/M07组合管理/M08因子模型/M01预测分析提供曲线基础）；新增automated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Dashboard；支持多曲线框架（OIS/SOFR vs LIBOR/SONIA basis）供XVA引擎消费</t>
        </is>
      </c>
      <c r="E10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real-time，API支持≥10个下游消费系统并发请求</t>
        </is>
      </c>
      <c r="F10" s="11" t="inlineStr"/>
      <c r="G10" s="28" t="inlineStr">
        <is>
          <t>极高</t>
        </is>
      </c>
      <c r="H10" s="13" t="n">
        <v>70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实时Greeks与敏感度计算（M01/M04/M07/M08共用基础）</t>
        </is>
      </c>
      <c r="D17" s="11" t="inlineStr">
        <is>
          <t>分布式实时计算全品种逐券敏感度，结果为M01衍生品MtM/M04风险聚合/M07归因展示/M08因子载荷四方共用权威数据源：Delta/Gamma/Vega/Theta/Rho（期权/结构化产品），DV01/CS01/Key Rate Duration分桶（KRD，覆盖含权债/可转债/利率债全品种），分桶利差敏感度。本模块为唯一定价计算权威，所有消费方禁止重复计算（M04 F04-08/F04-09/M07 F07-12/M08因子载荷均为消费视图）</t>
        </is>
      </c>
      <c r="E17" s="11" t="inlineStr">
        <is>
          <t>全品种Greeks/DV01/CS01/KRD覆盖率100%，单券计算延迟&lt;200ms，并发支持≥20消费方</t>
        </is>
      </c>
      <c r="F17" s="11" t="inlineStr">
        <is>
          <t>F09-04曲线/F09-05波动率曲面/F09-07~F09-09模型引擎/IBOR持仓</t>
        </is>
      </c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48" customHeight="1">
      <c r="A22" s="11" t="inlineStr">
        <is>
          <t>D4. 定价应用场景</t>
        </is>
      </c>
      <c r="B22" s="10" t="inlineStr">
        <is>
          <t>F09-16</t>
        </is>
      </c>
      <c r="C22" s="27" t="inlineStr">
        <is>
          <t>XVA计算引擎（CVA/DVA/FVA）</t>
        </is>
      </c>
      <c r="D22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E22" s="11" t="inlineStr">
        <is>
          <t>CVA计算单笔IRS p99&lt;1s，EPE曲线与行业工具误差&lt;2%，IFRS 13文档输出满足审计要求</t>
        </is>
      </c>
      <c r="F22" s="11" t="inlineStr">
        <is>
          <t>定价模型引擎（MC求解器F09-07）/交易对手信用数据（PD/LGD，外部数据源）/M09曲线服务（F09-04）</t>
        </is>
      </c>
      <c r="G22" s="28" t="inlineStr">
        <is>
          <t>极高</t>
        </is>
      </c>
      <c r="H22" s="13" t="n">
        <v>50</v>
      </c>
      <c r="I22" s="12" t="inlineStr">
        <is>
          <t>P2</t>
        </is>
      </c>
      <c r="J22" s="11" t="inlineStr"/>
    </row>
    <row r="23" ht="18" customHeight="1">
      <c r="A23" s="29" t="inlineStr">
        <is>
          <t>D5. 平台基础设施</t>
        </is>
      </c>
    </row>
    <row r="24" ht="48" customHeight="1">
      <c r="A24" s="11" t="inlineStr">
        <is>
          <t>D5. 平台基础设施</t>
        </is>
      </c>
      <c r="B24" s="10" t="inlineStr">
        <is>
          <t>F09-14</t>
        </is>
      </c>
      <c r="C24" s="27" t="inlineStr">
        <is>
          <t>定价微服务架构</t>
        </is>
      </c>
      <c r="D24" s="11" t="inlineStr">
        <is>
          <t>REST/gRPC定价API，横向弹性扩容，p99&lt;100ms，模型插件化注册，版本管理</t>
        </is>
      </c>
      <c r="E24" s="11" t="inlineStr"/>
      <c r="F24" s="11" t="inlineStr"/>
      <c r="G24" s="41" t="inlineStr">
        <is>
          <t>高</t>
        </is>
      </c>
      <c r="H24" s="13" t="n">
        <v>40</v>
      </c>
      <c r="I24" s="12" t="inlineStr">
        <is>
          <t>P2</t>
        </is>
      </c>
      <c r="J24" s="11" t="inlineStr"/>
    </row>
    <row r="25" ht="48" customHeight="1">
      <c r="A25" s="11" t="inlineStr">
        <is>
          <t>D5. 平台基础设施</t>
        </is>
      </c>
      <c r="B25" s="10" t="inlineStr">
        <is>
          <t>F09-15</t>
        </is>
      </c>
      <c r="C25" s="27" t="inlineStr">
        <is>
          <t>灵活二次开发能力</t>
        </is>
      </c>
      <c r="D25" s="11" t="inlineStr">
        <is>
          <t>全平台级/单功能模块级/系统框架级可扩展，支持自定义模型接入，策略团队自助扩展</t>
        </is>
      </c>
      <c r="E25" s="11" t="inlineStr"/>
      <c r="F25" s="11" t="inlineStr"/>
      <c r="G25" s="41" t="inlineStr">
        <is>
          <t>高</t>
        </is>
      </c>
      <c r="H25" s="13" t="n">
        <v>30</v>
      </c>
      <c r="I25" s="12" t="inlineStr">
        <is>
          <t>P2</t>
        </is>
      </c>
      <c r="J25" s="11" t="inlineStr"/>
    </row>
    <row r="26" ht="48" customHeight="1">
      <c r="A26" s="11" t="inlineStr">
        <is>
          <t>D5. 平台基础设施</t>
        </is>
      </c>
      <c r="B26" s="10" t="inlineStr">
        <is>
          <t>F09-17</t>
        </is>
      </c>
      <c r="C26" s="27" t="inlineStr">
        <is>
          <t>定价模型验证与P&amp;L Explain</t>
        </is>
      </c>
      <c r="D26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E26" s="11" t="inlineStr">
        <is>
          <t>P&amp;L Explain覆盖率≥95%持仓，差异阈值可配，争议定价T+5内完整复现，模型回测报告月度自动生成</t>
        </is>
      </c>
      <c r="F26" s="11" t="inlineStr">
        <is>
          <t>定价平台核心引擎（F09-07~F09-10）/IBOR实际P&amp;L数据/市场成交数据</t>
        </is>
      </c>
      <c r="G26" s="41" t="inlineStr">
        <is>
          <t>高</t>
        </is>
      </c>
      <c r="H26" s="13" t="n">
        <v>30</v>
      </c>
      <c r="I26" s="12" t="inlineStr">
        <is>
          <t>P2</t>
        </is>
      </c>
      <c r="J26" s="11" t="inlineStr"/>
    </row>
    <row r="27">
      <c r="A27" s="40" t="inlineStr">
        <is>
          <t>合计 17项功能  |  P1: 0项  |  P2: 17项</t>
        </is>
      </c>
      <c r="H27" s="20">
        <f>SUM(H5:H26)</f>
        <v/>
      </c>
      <c r="I27" s="34" t="inlineStr"/>
      <c r="J27" s="34" t="inlineStr"/>
    </row>
  </sheetData>
  <mergeCells count="9">
    <mergeCell ref="A1:J1"/>
    <mergeCell ref="A5:J5"/>
    <mergeCell ref="A23:J23"/>
    <mergeCell ref="A27:G27"/>
    <mergeCell ref="A9:J9"/>
    <mergeCell ref="A18:J18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2026-04-30T05:51:53Z</dcterms:created>
  <dcterms:modified xmlns:dcterms="http://purl.org/dc/terms/" xmlns:xsi="http://www.w3.org/2001/XMLSchema-instance" xsi:type="dcterms:W3CDTF">2026-04-30T05:51:53Z</dcterms:modified>
</cp:coreProperties>
</file>